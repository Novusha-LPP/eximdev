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X:\PnP-Officer-12092025\SRCC\INSURANCE AND ROAD TAX\INSURANCE QUOTES\POLICY PORTAL - MR UMANG\"/>
    </mc:Choice>
  </mc:AlternateContent>
  <xr:revisionPtr revIDLastSave="0" documentId="13_ncr:1_{1F1B2DAB-93F7-4590-96EA-7625EF4A06CC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Policy Portal" sheetId="1" r:id="rId1"/>
    <sheet name="F Data-NEW" sheetId="2" r:id="rId2"/>
    <sheet name="Data-OLD" sheetId="3" r:id="rId3"/>
  </sheets>
  <externalReferences>
    <externalReference r:id="rId4"/>
  </externalReferences>
  <definedNames>
    <definedName name="_xlnm._FilterDatabase" localSheetId="0" hidden="1">'Policy Portal'!$A$1:$AE$45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 a="1"/>
  <c r="F2" i="1" s="1"/>
  <c r="F17" i="3" l="1"/>
  <c r="Y46" i="2"/>
  <c r="W46" i="2"/>
  <c r="J41" i="3"/>
  <c r="T47" i="2" s="1"/>
  <c r="H41" i="3"/>
  <c r="N48" i="2"/>
  <c r="N46" i="2"/>
  <c r="P15" i="2"/>
  <c r="O15" i="2"/>
  <c r="O14" i="2"/>
  <c r="O13" i="2"/>
  <c r="O12" i="2"/>
  <c r="O4" i="2"/>
  <c r="O3" i="2"/>
  <c r="O2" i="2"/>
  <c r="O11" i="2"/>
  <c r="O10" i="2"/>
  <c r="O9" i="2"/>
  <c r="O8" i="2"/>
  <c r="O7" i="2"/>
  <c r="O6" i="2"/>
  <c r="O5" i="2"/>
  <c r="M47" i="2"/>
  <c r="R47" i="2"/>
  <c r="Z46" i="2"/>
  <c r="X46" i="2"/>
  <c r="V46" i="2"/>
  <c r="T46" i="2"/>
  <c r="S46" i="2"/>
  <c r="R46" i="2"/>
  <c r="R48" i="2" s="1"/>
  <c r="Q46" i="2"/>
  <c r="P46" i="2"/>
  <c r="M46" i="2"/>
  <c r="M48" i="2" s="1"/>
  <c r="N41" i="3"/>
  <c r="Z47" i="2" s="1"/>
  <c r="M41" i="3"/>
  <c r="X47" i="2" s="1"/>
  <c r="L41" i="3"/>
  <c r="V47" i="2" s="1"/>
  <c r="I41" i="3"/>
  <c r="S47" i="2" s="1"/>
  <c r="G41" i="3"/>
  <c r="Q47" i="2" s="1"/>
  <c r="F41" i="3"/>
  <c r="P47" i="2" s="1"/>
  <c r="D41" i="3"/>
  <c r="C41" i="3"/>
  <c r="L47" i="2" s="1"/>
  <c r="K40" i="3"/>
  <c r="K39" i="3"/>
  <c r="K38" i="3"/>
  <c r="O38" i="3" s="1"/>
  <c r="K37" i="3"/>
  <c r="K36" i="3"/>
  <c r="K35" i="3"/>
  <c r="K34" i="3"/>
  <c r="O34" i="3" s="1"/>
  <c r="K33" i="3"/>
  <c r="K32" i="3"/>
  <c r="K31" i="3"/>
  <c r="K30" i="3"/>
  <c r="O30" i="3" s="1"/>
  <c r="K29" i="3"/>
  <c r="K28" i="3"/>
  <c r="K27" i="3"/>
  <c r="K26" i="3"/>
  <c r="O26" i="3" s="1"/>
  <c r="K25" i="3"/>
  <c r="K24" i="3"/>
  <c r="K23" i="3"/>
  <c r="K22" i="3"/>
  <c r="O22" i="3" s="1"/>
  <c r="K21" i="3"/>
  <c r="K20" i="3"/>
  <c r="K19" i="3"/>
  <c r="K18" i="3"/>
  <c r="O18" i="3" s="1"/>
  <c r="K17" i="3"/>
  <c r="K16" i="3"/>
  <c r="K15" i="3"/>
  <c r="F9" i="3"/>
  <c r="K13" i="3"/>
  <c r="K12" i="3"/>
  <c r="O12" i="3" s="1"/>
  <c r="K11" i="3"/>
  <c r="O11" i="3" s="1"/>
  <c r="K10" i="3"/>
  <c r="O10" i="3" s="1"/>
  <c r="K9" i="3"/>
  <c r="K8" i="3"/>
  <c r="O8" i="3" s="1"/>
  <c r="K7" i="3"/>
  <c r="O7" i="3" s="1"/>
  <c r="K6" i="3"/>
  <c r="O6" i="3" s="1"/>
  <c r="K5" i="3"/>
  <c r="K2" i="3"/>
  <c r="O2" i="3" s="1"/>
  <c r="K3" i="3"/>
  <c r="O3" i="3" s="1"/>
  <c r="K4" i="3"/>
  <c r="O4" i="3" s="1"/>
  <c r="K14" i="3"/>
  <c r="O14" i="3" s="1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U2" i="2"/>
  <c r="AA2" i="2" s="1"/>
  <c r="U3" i="2"/>
  <c r="AA3" i="2" s="1"/>
  <c r="U4" i="2"/>
  <c r="AA4" i="2" s="1"/>
  <c r="U5" i="2"/>
  <c r="AA5" i="2" s="1"/>
  <c r="U6" i="2"/>
  <c r="AA6" i="2" s="1"/>
  <c r="U7" i="2"/>
  <c r="AA7" i="2" s="1"/>
  <c r="U8" i="2"/>
  <c r="AA8" i="2" s="1"/>
  <c r="U9" i="2"/>
  <c r="AA9" i="2" s="1"/>
  <c r="U10" i="2"/>
  <c r="AA10" i="2" s="1"/>
  <c r="U11" i="2"/>
  <c r="AA11" i="2" s="1"/>
  <c r="U12" i="2"/>
  <c r="AA12" i="2" s="1"/>
  <c r="U13" i="2"/>
  <c r="AA13" i="2" s="1"/>
  <c r="U14" i="2"/>
  <c r="AA14" i="2" s="1"/>
  <c r="U15" i="2"/>
  <c r="AA15" i="2" s="1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L46" i="2"/>
  <c r="K41" i="3" l="1"/>
  <c r="U47" i="2" s="1"/>
  <c r="AB2" i="2"/>
  <c r="E41" i="3"/>
  <c r="O47" i="2" s="1"/>
  <c r="S48" i="2"/>
  <c r="Q48" i="2"/>
  <c r="T48" i="2"/>
  <c r="V48" i="2"/>
  <c r="P48" i="2"/>
  <c r="AB40" i="2"/>
  <c r="AB32" i="2"/>
  <c r="AA18" i="2"/>
  <c r="AB18" i="2" s="1"/>
  <c r="AA20" i="2"/>
  <c r="AB20" i="2" s="1"/>
  <c r="AA22" i="2"/>
  <c r="AB22" i="2" s="1"/>
  <c r="AA24" i="2"/>
  <c r="AB24" i="2" s="1"/>
  <c r="AA26" i="2"/>
  <c r="AB26" i="2" s="1"/>
  <c r="AA28" i="2"/>
  <c r="AB28" i="2" s="1"/>
  <c r="AA30" i="2"/>
  <c r="AB30" i="2" s="1"/>
  <c r="AA32" i="2"/>
  <c r="AA34" i="2"/>
  <c r="AB34" i="2" s="1"/>
  <c r="AA36" i="2"/>
  <c r="AB36" i="2" s="1"/>
  <c r="AA38" i="2"/>
  <c r="AB38" i="2" s="1"/>
  <c r="AA40" i="2"/>
  <c r="AA17" i="2"/>
  <c r="AB17" i="2" s="1"/>
  <c r="AA19" i="2"/>
  <c r="AB19" i="2" s="1"/>
  <c r="AA21" i="2"/>
  <c r="AB21" i="2" s="1"/>
  <c r="AA23" i="2"/>
  <c r="AB23" i="2" s="1"/>
  <c r="AA25" i="2"/>
  <c r="AB25" i="2" s="1"/>
  <c r="AA27" i="2"/>
  <c r="AB27" i="2" s="1"/>
  <c r="AA29" i="2"/>
  <c r="AB29" i="2" s="1"/>
  <c r="AA31" i="2"/>
  <c r="AB31" i="2" s="1"/>
  <c r="AA33" i="2"/>
  <c r="AB33" i="2" s="1"/>
  <c r="AA35" i="2"/>
  <c r="AB35" i="2" s="1"/>
  <c r="AA37" i="2"/>
  <c r="AB37" i="2" s="1"/>
  <c r="AA39" i="2"/>
  <c r="AB39" i="2" s="1"/>
  <c r="AA41" i="2"/>
  <c r="AB41" i="2" s="1"/>
  <c r="AA16" i="2"/>
  <c r="AB16" i="2" s="1"/>
  <c r="AB15" i="2"/>
  <c r="AB14" i="2"/>
  <c r="AB13" i="2"/>
  <c r="AB12" i="2"/>
  <c r="AB11" i="2"/>
  <c r="AB10" i="2"/>
  <c r="AB9" i="2"/>
  <c r="AB8" i="2"/>
  <c r="AB7" i="2"/>
  <c r="AB6" i="2"/>
  <c r="AB5" i="2"/>
  <c r="AB4" i="2"/>
  <c r="AB3" i="2"/>
  <c r="X48" i="2"/>
  <c r="Z48" i="2"/>
  <c r="L48" i="2"/>
  <c r="O46" i="2"/>
  <c r="U46" i="2"/>
  <c r="P18" i="3"/>
  <c r="P22" i="3"/>
  <c r="P26" i="3"/>
  <c r="P30" i="3"/>
  <c r="P34" i="3"/>
  <c r="P38" i="3"/>
  <c r="O20" i="3"/>
  <c r="P20" i="3" s="1"/>
  <c r="O24" i="3"/>
  <c r="P24" i="3" s="1"/>
  <c r="O28" i="3"/>
  <c r="P28" i="3" s="1"/>
  <c r="O32" i="3"/>
  <c r="P32" i="3" s="1"/>
  <c r="O36" i="3"/>
  <c r="P36" i="3" s="1"/>
  <c r="O40" i="3"/>
  <c r="P40" i="3" s="1"/>
  <c r="O16" i="3"/>
  <c r="P16" i="3" s="1"/>
  <c r="O15" i="3"/>
  <c r="P15" i="3" s="1"/>
  <c r="O17" i="3"/>
  <c r="O19" i="3"/>
  <c r="P19" i="3" s="1"/>
  <c r="O21" i="3"/>
  <c r="P21" i="3" s="1"/>
  <c r="O23" i="3"/>
  <c r="P23" i="3" s="1"/>
  <c r="O25" i="3"/>
  <c r="P25" i="3" s="1"/>
  <c r="O27" i="3"/>
  <c r="P27" i="3" s="1"/>
  <c r="O29" i="3"/>
  <c r="P29" i="3" s="1"/>
  <c r="O31" i="3"/>
  <c r="P31" i="3" s="1"/>
  <c r="O33" i="3"/>
  <c r="P33" i="3" s="1"/>
  <c r="O35" i="3"/>
  <c r="P35" i="3" s="1"/>
  <c r="O37" i="3"/>
  <c r="P37" i="3" s="1"/>
  <c r="O39" i="3"/>
  <c r="P39" i="3" s="1"/>
  <c r="O5" i="3"/>
  <c r="P5" i="3" s="1"/>
  <c r="P7" i="3"/>
  <c r="O9" i="3"/>
  <c r="P9" i="3" s="1"/>
  <c r="P11" i="3"/>
  <c r="O13" i="3"/>
  <c r="P13" i="3" s="1"/>
  <c r="P6" i="3"/>
  <c r="P8" i="3"/>
  <c r="P10" i="3"/>
  <c r="P12" i="3"/>
  <c r="P3" i="3"/>
  <c r="P14" i="3"/>
  <c r="P4" i="3"/>
  <c r="P2" i="3"/>
  <c r="AC44" i="1"/>
  <c r="AB44" i="1"/>
  <c r="W44" i="1"/>
  <c r="P44" i="1"/>
  <c r="O44" i="1"/>
  <c r="E2" i="1" a="1"/>
  <c r="E2" i="1" s="1"/>
  <c r="U35" i="1"/>
  <c r="V35" i="1" s="1"/>
  <c r="U34" i="1"/>
  <c r="V34" i="1" s="1"/>
  <c r="U33" i="1"/>
  <c r="V33" i="1" s="1"/>
  <c r="U32" i="1"/>
  <c r="U31" i="1"/>
  <c r="V31" i="1" s="1"/>
  <c r="U30" i="1"/>
  <c r="V30" i="1" s="1"/>
  <c r="U29" i="1"/>
  <c r="U28" i="1"/>
  <c r="V28" i="1" s="1"/>
  <c r="U27" i="1"/>
  <c r="V27" i="1" s="1"/>
  <c r="U26" i="1"/>
  <c r="V26" i="1" s="1"/>
  <c r="U25" i="1"/>
  <c r="V25" i="1" s="1"/>
  <c r="U24" i="1"/>
  <c r="V24" i="1" s="1"/>
  <c r="U23" i="1"/>
  <c r="V23" i="1" s="1"/>
  <c r="U22" i="1"/>
  <c r="V22" i="1" s="1"/>
  <c r="U21" i="1"/>
  <c r="V21" i="1" s="1"/>
  <c r="U20" i="1"/>
  <c r="V20" i="1" s="1"/>
  <c r="U19" i="1"/>
  <c r="V19" i="1" s="1"/>
  <c r="U18" i="1"/>
  <c r="U17" i="1"/>
  <c r="V17" i="1" s="1"/>
  <c r="U16" i="1"/>
  <c r="V16" i="1" s="1"/>
  <c r="U15" i="1"/>
  <c r="V15" i="1" s="1"/>
  <c r="U14" i="1"/>
  <c r="V14" i="1" s="1"/>
  <c r="U13" i="1"/>
  <c r="V13" i="1" s="1"/>
  <c r="U12" i="1"/>
  <c r="V12" i="1" s="1"/>
  <c r="U11" i="1"/>
  <c r="V11" i="1" s="1"/>
  <c r="U10" i="1"/>
  <c r="V10" i="1" s="1"/>
  <c r="U9" i="1"/>
  <c r="V9" i="1" s="1"/>
  <c r="U8" i="1"/>
  <c r="V8" i="1" s="1"/>
  <c r="U7" i="1"/>
  <c r="V7" i="1" s="1"/>
  <c r="U6" i="1"/>
  <c r="V6" i="1" s="1"/>
  <c r="U5" i="1"/>
  <c r="V5" i="1" s="1"/>
  <c r="U4" i="1"/>
  <c r="V4" i="1" s="1"/>
  <c r="U3" i="1"/>
  <c r="V3" i="1" s="1"/>
  <c r="U2" i="1"/>
  <c r="V2" i="1" s="1"/>
  <c r="U48" i="2" l="1"/>
  <c r="O48" i="2"/>
  <c r="P17" i="3"/>
  <c r="P41" i="3" s="1"/>
  <c r="AB47" i="2" s="1"/>
  <c r="O41" i="3"/>
  <c r="AA47" i="2" s="1"/>
  <c r="AA46" i="2"/>
  <c r="AB46" i="2"/>
  <c r="V44" i="1"/>
  <c r="O45" i="1" s="1"/>
  <c r="P45" i="1"/>
  <c r="AB45" i="1"/>
  <c r="AB48" i="2" l="1"/>
  <c r="AA48" i="2"/>
  <c r="V4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Ajay Kumavat</author>
  </authors>
  <commentList>
    <comment ref="C12" authorId="0" shapeId="0" xr:uid="{B596F68D-B464-4529-A4F9-52D70512CC91}">
      <text>
        <r>
          <rPr>
            <b/>
            <sz val="9"/>
            <color indexed="81"/>
            <rFont val="Tahoma"/>
            <family val="2"/>
          </rPr>
          <t>Ajay Kumavat:</t>
        </r>
        <r>
          <rPr>
            <sz val="9"/>
            <color indexed="81"/>
            <rFont val="Tahoma"/>
            <family val="2"/>
          </rPr>
          <t xml:space="preserve">
Generali Central Insurance Company Limited</t>
        </r>
      </text>
    </comment>
    <comment ref="D12" authorId="0" shapeId="0" xr:uid="{4D92C993-BD48-429A-96BF-5E03B59C7362}">
      <text>
        <r>
          <rPr>
            <b/>
            <sz val="9"/>
            <color indexed="81"/>
            <rFont val="Tahoma"/>
            <family val="2"/>
          </rPr>
          <t>Ajay Kumavat:</t>
        </r>
        <r>
          <rPr>
            <sz val="9"/>
            <color indexed="81"/>
            <rFont val="Tahoma"/>
            <family val="2"/>
          </rPr>
          <t xml:space="preserve">
Generali Central Insurance Company Limited</t>
        </r>
      </text>
    </comment>
    <comment ref="C15" authorId="0" shapeId="0" xr:uid="{B8EAD328-8BA5-446E-AA81-D91BCDAB002B}">
      <text>
        <r>
          <rPr>
            <b/>
            <sz val="9"/>
            <color indexed="81"/>
            <rFont val="Tahoma"/>
            <family val="2"/>
          </rPr>
          <t>Ajay Kumavat:</t>
        </r>
        <r>
          <rPr>
            <sz val="9"/>
            <color indexed="81"/>
            <rFont val="Tahoma"/>
            <family val="2"/>
          </rPr>
          <t xml:space="preserve">
TIPPER - CNG + HYDROLIC</t>
        </r>
      </text>
    </comment>
    <comment ref="D15" authorId="0" shapeId="0" xr:uid="{9E09334B-E48C-46F9-9460-9EDFC9DF038F}">
      <text>
        <r>
          <rPr>
            <b/>
            <sz val="9"/>
            <color indexed="81"/>
            <rFont val="Tahoma"/>
            <family val="2"/>
          </rPr>
          <t xml:space="preserve">Ajay Kumavat:
</t>
        </r>
        <r>
          <rPr>
            <sz val="9"/>
            <color indexed="81"/>
            <rFont val="Tahoma"/>
            <family val="2"/>
          </rPr>
          <t>Royal Sundaram General Insurance Co. Limited</t>
        </r>
      </text>
    </comment>
    <comment ref="P15" authorId="0" shapeId="0" xr:uid="{1D2C3245-37F3-4A91-B3D5-743B5CF0A74F}">
      <text>
        <r>
          <rPr>
            <b/>
            <sz val="9"/>
            <color indexed="81"/>
            <rFont val="Tahoma"/>
            <family val="2"/>
          </rPr>
          <t>Ajay Kumavat:</t>
        </r>
        <r>
          <rPr>
            <sz val="9"/>
            <color indexed="81"/>
            <rFont val="Tahoma"/>
            <family val="2"/>
          </rPr>
          <t xml:space="preserve">
Additional GVW over 12,000 Kgs</t>
        </r>
      </text>
    </comment>
    <comment ref="S15" authorId="0" shapeId="0" xr:uid="{0595E494-EBE6-42A5-9D85-EB33FE1C039A}">
      <text>
        <r>
          <rPr>
            <b/>
            <sz val="9"/>
            <color indexed="81"/>
            <rFont val="Tahoma"/>
            <family val="2"/>
          </rPr>
          <t>Ajay Kumavat:</t>
        </r>
        <r>
          <rPr>
            <sz val="9"/>
            <color indexed="81"/>
            <rFont val="Tahoma"/>
            <family val="2"/>
          </rPr>
          <t xml:space="preserve">
CNG</t>
        </r>
      </text>
    </comment>
    <comment ref="W15" authorId="0" shapeId="0" xr:uid="{8B35C16F-FBCF-4F42-8516-12A7E69C5F61}">
      <text>
        <r>
          <rPr>
            <b/>
            <sz val="9"/>
            <color indexed="81"/>
            <rFont val="Tahoma"/>
            <family val="2"/>
          </rPr>
          <t>Ajay Kumavat:</t>
        </r>
        <r>
          <rPr>
            <sz val="9"/>
            <color indexed="81"/>
            <rFont val="Tahoma"/>
            <family val="2"/>
          </rPr>
          <t xml:space="preserve">
Bi – Fuel Kit (CNG/LPG)</t>
        </r>
      </text>
    </comment>
    <comment ref="C17" authorId="0" shapeId="0" xr:uid="{F17943BE-3931-42E5-977E-074CE49541D0}">
      <text>
        <r>
          <rPr>
            <b/>
            <sz val="9"/>
            <color indexed="81"/>
            <rFont val="Tahoma"/>
            <family val="2"/>
          </rPr>
          <t>Ajay Kumavat:</t>
        </r>
        <r>
          <rPr>
            <sz val="9"/>
            <color indexed="81"/>
            <rFont val="Tahoma"/>
            <family val="2"/>
          </rPr>
          <t xml:space="preserve">
TIPPER + HYDROLIC</t>
        </r>
      </text>
    </comment>
    <comment ref="D17" authorId="0" shapeId="0" xr:uid="{E8AA0F2C-1636-4E74-8220-2355BCC46B80}">
      <text>
        <r>
          <rPr>
            <b/>
            <sz val="9"/>
            <color indexed="81"/>
            <rFont val="Tahoma"/>
            <family val="2"/>
          </rPr>
          <t>Ajay Kumavat:</t>
        </r>
        <r>
          <rPr>
            <sz val="9"/>
            <color indexed="81"/>
            <rFont val="Tahoma"/>
            <family val="2"/>
          </rPr>
          <t xml:space="preserve">
Cholamandalam MS General Insurance Company Ltd.</t>
        </r>
      </text>
    </comment>
    <comment ref="S17" authorId="0" shapeId="0" xr:uid="{97E0FE8E-A345-4AA1-A1A0-E283F5ED7EB3}">
      <text>
        <r>
          <rPr>
            <b/>
            <sz val="9"/>
            <color indexed="81"/>
            <rFont val="Tahoma"/>
            <family val="2"/>
          </rPr>
          <t>Ajay Kumavat:</t>
        </r>
        <r>
          <rPr>
            <sz val="9"/>
            <color indexed="81"/>
            <rFont val="Tahoma"/>
            <family val="2"/>
          </rPr>
          <t xml:space="preserve">
TIPPER</t>
        </r>
      </text>
    </comment>
    <comment ref="D23" authorId="0" shapeId="0" xr:uid="{8E2E7C1A-4442-4FB0-9E9D-27D3493B6E4A}">
      <text>
        <r>
          <rPr>
            <b/>
            <sz val="9"/>
            <color indexed="81"/>
            <rFont val="Tahoma"/>
            <family val="2"/>
          </rPr>
          <t>Ajay Kumavat:</t>
        </r>
        <r>
          <rPr>
            <sz val="9"/>
            <color indexed="81"/>
            <rFont val="Tahoma"/>
            <family val="2"/>
          </rPr>
          <t xml:space="preserve">
SHRIRAM GENERAL INSURANCE COMPANY LIMITED due to region rate increase in Universal Sompo</t>
        </r>
      </text>
    </comment>
    <comment ref="C24" authorId="0" shapeId="0" xr:uid="{DC04CBFF-E6BB-4DBB-BDBC-862FCC0E43E2}">
      <text>
        <r>
          <rPr>
            <b/>
            <sz val="9"/>
            <color indexed="81"/>
            <rFont val="Tahoma"/>
            <family val="2"/>
          </rPr>
          <t>Ajay Kumavat:</t>
        </r>
        <r>
          <rPr>
            <sz val="9"/>
            <color indexed="81"/>
            <rFont val="Tahoma"/>
            <family val="2"/>
          </rPr>
          <t xml:space="preserve">
TIPPER + HYDROLIC STATUS PENDING IN RC</t>
        </r>
      </text>
    </comment>
    <comment ref="C25" authorId="0" shapeId="0" xr:uid="{E7CFF6EF-7D00-4D16-8DAC-B1FEE6D15619}">
      <text>
        <r>
          <rPr>
            <b/>
            <sz val="9"/>
            <color indexed="81"/>
            <rFont val="Tahoma"/>
            <charset val="1"/>
          </rPr>
          <t>Ajay Kumavat:</t>
        </r>
        <r>
          <rPr>
            <sz val="9"/>
            <color indexed="81"/>
            <rFont val="Tahoma"/>
            <charset val="1"/>
          </rPr>
          <t xml:space="preserve">
TIPPER + HYDROLIC STATUS PENDING IN RC</t>
        </r>
      </text>
    </comment>
    <comment ref="C26" authorId="0" shapeId="0" xr:uid="{E7AE4AB0-8E51-4DDF-901F-5DA3B46657C7}">
      <text>
        <r>
          <rPr>
            <b/>
            <sz val="9"/>
            <color indexed="81"/>
            <rFont val="Tahoma"/>
            <charset val="1"/>
          </rPr>
          <t>Ajay Kumavat:</t>
        </r>
        <r>
          <rPr>
            <sz val="9"/>
            <color indexed="81"/>
            <rFont val="Tahoma"/>
            <charset val="1"/>
          </rPr>
          <t xml:space="preserve">
TIPPER + HYDROLIC</t>
        </r>
      </text>
    </comment>
    <comment ref="D26" authorId="0" shapeId="0" xr:uid="{A9C91DF7-93A8-41FD-BE8E-A69E5D3A74B4}">
      <text>
        <r>
          <rPr>
            <b/>
            <sz val="9"/>
            <color indexed="81"/>
            <rFont val="Tahoma"/>
            <charset val="1"/>
          </rPr>
          <t>Ajay Kumavat:</t>
        </r>
        <r>
          <rPr>
            <sz val="9"/>
            <color indexed="81"/>
            <rFont val="Tahoma"/>
            <charset val="1"/>
          </rPr>
          <t xml:space="preserve">
Royal Sundaram General Insurance Co. Limited</t>
        </r>
      </text>
    </comment>
    <comment ref="P26" authorId="0" shapeId="0" xr:uid="{11CDB13C-78D6-4121-989C-AC856E44DAD6}">
      <text>
        <r>
          <rPr>
            <b/>
            <sz val="9"/>
            <color indexed="81"/>
            <rFont val="Tahoma"/>
            <charset val="1"/>
          </rPr>
          <t>Ajay Kumavat:</t>
        </r>
        <r>
          <rPr>
            <sz val="9"/>
            <color indexed="81"/>
            <rFont val="Tahoma"/>
            <charset val="1"/>
          </rPr>
          <t xml:space="preserve">
Additional GVW over 12,000 Kgs</t>
        </r>
      </text>
    </comment>
    <comment ref="S26" authorId="0" shapeId="0" xr:uid="{FE04AAAA-6344-4ABB-B911-038D168FF0D9}">
      <text>
        <r>
          <rPr>
            <b/>
            <sz val="9"/>
            <color indexed="81"/>
            <rFont val="Tahoma"/>
            <charset val="1"/>
          </rPr>
          <t>Ajay Kumavat:</t>
        </r>
        <r>
          <rPr>
            <sz val="9"/>
            <color indexed="81"/>
            <rFont val="Tahoma"/>
            <charset val="1"/>
          </rPr>
          <t xml:space="preserve">
Discount moderation</t>
        </r>
      </text>
    </comment>
    <comment ref="C27" authorId="0" shapeId="0" xr:uid="{B51A8D12-9B38-4FD2-B7B6-D1D2E8BE5C1C}">
      <text>
        <r>
          <rPr>
            <b/>
            <sz val="9"/>
            <color indexed="81"/>
            <rFont val="Tahoma"/>
            <charset val="1"/>
          </rPr>
          <t>Ajay Kumavat:</t>
        </r>
        <r>
          <rPr>
            <sz val="9"/>
            <color indexed="81"/>
            <rFont val="Tahoma"/>
            <charset val="1"/>
          </rPr>
          <t xml:space="preserve">
TIPPER + HYDROLIC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<sst xmlns="http://schemas.openxmlformats.org/spreadsheetml/2006/main" count="574" uniqueCount="292">
  <si>
    <t>Sr. No.</t>
  </si>
  <si>
    <t>Registration No.</t>
  </si>
  <si>
    <t>Registration Date</t>
  </si>
  <si>
    <t>Model</t>
  </si>
  <si>
    <t>Size</t>
  </si>
  <si>
    <t>Owner</t>
  </si>
  <si>
    <t>IDV</t>
  </si>
  <si>
    <t>From</t>
  </si>
  <si>
    <t>To</t>
  </si>
  <si>
    <t>Remarks</t>
  </si>
  <si>
    <t>TIPPER</t>
  </si>
  <si>
    <t>20 FT</t>
  </si>
  <si>
    <t>SR CONTAINER CARRIERS</t>
  </si>
  <si>
    <t>TIPPER CNG</t>
  </si>
  <si>
    <t>BOLERO</t>
  </si>
  <si>
    <t>40 FT</t>
  </si>
  <si>
    <t>TRAILER</t>
  </si>
  <si>
    <t>19.07.2024</t>
  </si>
  <si>
    <t>18.07.2025</t>
  </si>
  <si>
    <t>12 WHEEL</t>
  </si>
  <si>
    <t>TAURUS</t>
  </si>
  <si>
    <t>Suraj A Rajan (Proprietor)</t>
  </si>
  <si>
    <t>Insurance Company</t>
  </si>
  <si>
    <t>Policy No</t>
  </si>
  <si>
    <t>SBI general Insurance</t>
  </si>
  <si>
    <t>SHRIRAM GENERAL INSURANCE COMPANY LIMITED</t>
  </si>
  <si>
    <t>MAGMA HDI</t>
  </si>
  <si>
    <t>Go Digit General Insurance Ltd</t>
  </si>
  <si>
    <t>MEGMA GENERAL INSURANCE LIMITED</t>
  </si>
  <si>
    <t>Go Digit General Insurance Ltd.</t>
  </si>
  <si>
    <t>Reliance General Insurance Company Limited</t>
  </si>
  <si>
    <t>Tata AIG General Insurance Company LTD</t>
  </si>
  <si>
    <t>0000000040753483/P031009241805042</t>
  </si>
  <si>
    <t>P030608241738266</t>
  </si>
  <si>
    <t>213001/31/25/037244</t>
  </si>
  <si>
    <t>10003/31/25/214280</t>
  </si>
  <si>
    <t>P0025200007/4103/103112</t>
  </si>
  <si>
    <t>D157747087/29072024</t>
  </si>
  <si>
    <t>P0025200007/4103/104588</t>
  </si>
  <si>
    <t>P031810241880544</t>
  </si>
  <si>
    <t>P032007241706097</t>
  </si>
  <si>
    <t>213001/31/26/000989</t>
  </si>
  <si>
    <t>D175313243 / 23112024</t>
  </si>
  <si>
    <t>10003/31/25/587624</t>
  </si>
  <si>
    <t>213001/31/26/004903</t>
  </si>
  <si>
    <t>POCMVGC0100329389</t>
  </si>
  <si>
    <t>6302124302 00 00</t>
  </si>
  <si>
    <t>666222423340016000</t>
  </si>
  <si>
    <t>ROYAL SUNADRAM INSURANCE</t>
  </si>
  <si>
    <t>VGC1335520000100</t>
  </si>
  <si>
    <t>132/02/17/0726/MTP/1010119267</t>
  </si>
  <si>
    <t>FUTURE GENERALI</t>
  </si>
  <si>
    <t>213001/31/25/040767</t>
  </si>
  <si>
    <t>D181071478 / 28032025</t>
  </si>
  <si>
    <t>213001/31/25/036980</t>
  </si>
  <si>
    <t>213001/31/25/038511</t>
  </si>
  <si>
    <t>D179043211 / 21122024</t>
  </si>
  <si>
    <t>213001/31/25/034557</t>
  </si>
  <si>
    <t>213001/31/25/036191</t>
  </si>
  <si>
    <t>213001/31/26/004506</t>
  </si>
  <si>
    <t>213001/31/25/032488</t>
  </si>
  <si>
    <t>VGC1322471000100</t>
  </si>
  <si>
    <t>213001/31/25/032050</t>
  </si>
  <si>
    <t>P032509241835493</t>
  </si>
  <si>
    <t>Premium Amount</t>
  </si>
  <si>
    <t>213001/31/26/003188</t>
  </si>
  <si>
    <t>POCMVGC0100426831</t>
  </si>
  <si>
    <t>GVW</t>
  </si>
  <si>
    <t>NCB</t>
  </si>
  <si>
    <t>This year idv</t>
  </si>
  <si>
    <t>IMT 23</t>
  </si>
  <si>
    <t>PREMIUM</t>
  </si>
  <si>
    <t>zero dep+ Towing cover 20000</t>
  </si>
  <si>
    <t>YES</t>
  </si>
  <si>
    <t>RSD TAKEN</t>
  </si>
  <si>
    <t>NO</t>
  </si>
  <si>
    <t>RENEWED</t>
  </si>
  <si>
    <t>NEW IDV</t>
  </si>
  <si>
    <t>NEW EXPIRY DT</t>
  </si>
  <si>
    <t>GJ-18-BT-5220</t>
  </si>
  <si>
    <t>GJ-18-BW-1144</t>
  </si>
  <si>
    <t>GJ-18-BV-5224</t>
  </si>
  <si>
    <t>GJ-18-BV-5428</t>
  </si>
  <si>
    <t>GJ-16-AU-5412</t>
  </si>
  <si>
    <t>GJ-18-AV-8971</t>
  </si>
  <si>
    <t>GJ-15-X-8939</t>
  </si>
  <si>
    <t>GJ-18-AV-4737</t>
  </si>
  <si>
    <t>GJ-18-AV-4735</t>
  </si>
  <si>
    <t>GJ-01-AU-4504</t>
  </si>
  <si>
    <t>GJ-12-Z-1090</t>
  </si>
  <si>
    <t>GJ-12-Z-1089</t>
  </si>
  <si>
    <t>GJ-12-Z-1317</t>
  </si>
  <si>
    <t>GJ-18-AX-6284</t>
  </si>
  <si>
    <t>GJ-18-AX-0063</t>
  </si>
  <si>
    <t>GJ-12-Z-2989</t>
  </si>
  <si>
    <t>GJ-12-Z-3234</t>
  </si>
  <si>
    <t>GJ-20-U-7188</t>
  </si>
  <si>
    <t>GJ-18-AZ-5394</t>
  </si>
  <si>
    <t>GJ-01-CV-4935</t>
  </si>
  <si>
    <t>GJ-18-AU-8480</t>
  </si>
  <si>
    <t>GJ-01-CX-2097</t>
  </si>
  <si>
    <t>GJ-09-Z-4266</t>
  </si>
  <si>
    <t>GJ-18-BV-9156</t>
  </si>
  <si>
    <t>GJ-18-BV-6050</t>
  </si>
  <si>
    <t>GJ-18-AV-7468</t>
  </si>
  <si>
    <t>GJ-18-AZ-4229</t>
  </si>
  <si>
    <t>GJ-18-AX-6955</t>
  </si>
  <si>
    <t>GJ-18-AZ-0849</t>
  </si>
  <si>
    <t>GJ-12-BT-7142</t>
  </si>
  <si>
    <t>GJ-08-AW-8599</t>
  </si>
  <si>
    <t>GJ-18-BV-8816</t>
  </si>
  <si>
    <t>GJ-18-AZ-4495</t>
  </si>
  <si>
    <t>GJ-18-AZ-5588</t>
  </si>
  <si>
    <t>RENEWED DT</t>
  </si>
  <si>
    <t>PREMIUM QUOTE</t>
  </si>
  <si>
    <t>GJ-18-BW-6133</t>
  </si>
  <si>
    <t>GJ-12-BX-8779</t>
  </si>
  <si>
    <t>351500312419038643</t>
  </si>
  <si>
    <t>RJ-32-GB-4532</t>
  </si>
  <si>
    <t>RJ-32-GB-5439</t>
  </si>
  <si>
    <t>RJ-32-GB-5192</t>
  </si>
  <si>
    <t>The Oriental Insurance Company Limited</t>
  </si>
  <si>
    <t>242300/31/2025/6528</t>
  </si>
  <si>
    <t>Anil Kumar</t>
  </si>
  <si>
    <t>UNIVERSAL SOMPO GENERAL INSURANCE COMPANY LIMITED</t>
  </si>
  <si>
    <t>USGAF231566575878</t>
  </si>
  <si>
    <t>AVO/2315/20034797</t>
  </si>
  <si>
    <t>NARAYANBHAI MANSUKHBHAI GADHAVI</t>
  </si>
  <si>
    <t>666222523340004521</t>
  </si>
  <si>
    <t>RAKESH GUruAR</t>
  </si>
  <si>
    <t>National Insurance Company Limited</t>
  </si>
  <si>
    <t>AVO/2315/20034067</t>
  </si>
  <si>
    <t>MAKE/MODEL</t>
  </si>
  <si>
    <t>TATA MOTORS LPS 4018 TC BS3</t>
  </si>
  <si>
    <t>Policy No.</t>
  </si>
  <si>
    <t>REGISTRATION NUMBER</t>
  </si>
  <si>
    <t>ENGINE NUMBER</t>
  </si>
  <si>
    <t>CHASSIS NUMBER</t>
  </si>
  <si>
    <t>CUBIC CAPACITY/KW/GVW</t>
  </si>
  <si>
    <t>MFG. YEAR / REGISTRATION DATE</t>
  </si>
  <si>
    <t>VEHICLE IDV</t>
  </si>
  <si>
    <t>TOTAL POLICY PREMIUM</t>
  </si>
  <si>
    <t>AVO/2315/12455920</t>
  </si>
  <si>
    <t>NDE414910</t>
  </si>
  <si>
    <t>NDR138946</t>
  </si>
  <si>
    <t>ASHOK LEYLAND 3516 H/ AL</t>
  </si>
  <si>
    <t>5883 / 35200</t>
  </si>
  <si>
    <t>2005 / 26-10-2005</t>
  </si>
  <si>
    <t>Renewal Date</t>
  </si>
  <si>
    <t>Sr No</t>
  </si>
  <si>
    <t>AVO/2315/12539154</t>
  </si>
  <si>
    <t>80G62697822</t>
  </si>
  <si>
    <t>415206HRZ308763</t>
  </si>
  <si>
    <t>TATA LPS3516 TC32 EX</t>
  </si>
  <si>
    <t>5883 / 39500</t>
  </si>
  <si>
    <t>2008 / 02-12-2008</t>
  </si>
  <si>
    <t>AVO/2315/12539167</t>
  </si>
  <si>
    <t>80E62677349</t>
  </si>
  <si>
    <t>415206ERZ305315</t>
  </si>
  <si>
    <t>2008 / 23-09-2008</t>
  </si>
  <si>
    <t>AVO/2315/12516605</t>
  </si>
  <si>
    <t>B591803121B63234901</t>
  </si>
  <si>
    <t>MAT503010C3B06810</t>
  </si>
  <si>
    <t>TATA MOTORS LIMITED TATA LPS 3518</t>
  </si>
  <si>
    <t>2012 / 20-03-2012</t>
  </si>
  <si>
    <t>AVO/2315/12489557</t>
  </si>
  <si>
    <t>60D62474649</t>
  </si>
  <si>
    <t>447205STZ209895</t>
  </si>
  <si>
    <t>TATA MOTORS LPS 4018.</t>
  </si>
  <si>
    <t>5883 / 40200</t>
  </si>
  <si>
    <t>61J68495258</t>
  </si>
  <si>
    <t>MAT447228G5J95185</t>
  </si>
  <si>
    <t>TATA MOTORS LTD / TATA LPS 4018</t>
  </si>
  <si>
    <t>5883 / 45500</t>
  </si>
  <si>
    <t>2016 / 24-11-2016</t>
  </si>
  <si>
    <t>B591803261C63504299</t>
  </si>
  <si>
    <t>MAT447220G1C07205</t>
  </si>
  <si>
    <t>2016 / 12-04-2016</t>
  </si>
  <si>
    <t>AVO/2315/20019944</t>
  </si>
  <si>
    <t>F63144219</t>
  </si>
  <si>
    <t>B3F15201</t>
  </si>
  <si>
    <t>TATA MOTORS LTD LPT3118TC BS2 COWL</t>
  </si>
  <si>
    <t>AVO/2315/20032118</t>
  </si>
  <si>
    <t>51M84271296</t>
  </si>
  <si>
    <t>MAT447224FAP14285</t>
  </si>
  <si>
    <t>2006 / 06-06-2006</t>
  </si>
  <si>
    <t>2011 / 03-10-2011</t>
  </si>
  <si>
    <t>2015 / 25-01-2016</t>
  </si>
  <si>
    <t>160HP01F62893348</t>
  </si>
  <si>
    <t>MAT415206A2F15024</t>
  </si>
  <si>
    <t>TATA MOTORS LIMITED TATA LPS 3516</t>
  </si>
  <si>
    <t>2010 / 17-07-2010</t>
  </si>
  <si>
    <t>GJ-18-BW-8733</t>
  </si>
  <si>
    <r>
      <t xml:space="preserve">SHRIRAM GENERAL INSURANCE COMPANY LIMITED
</t>
    </r>
    <r>
      <rPr>
        <b/>
        <sz val="11"/>
        <rFont val="Calibri"/>
        <family val="2"/>
      </rPr>
      <t>Generali Central Insurance Company Limited</t>
    </r>
  </si>
  <si>
    <t>132/02/17/0127/MTP/1010339320</t>
  </si>
  <si>
    <t>400952D0061569</t>
  </si>
  <si>
    <t>MEC2246CDJP061760</t>
  </si>
  <si>
    <t>BHARAT BENZ 3123 R 8X2</t>
  </si>
  <si>
    <t>6372 / 35000</t>
  </si>
  <si>
    <t>AVO/2315/20040069</t>
  </si>
  <si>
    <t>40M62376990</t>
  </si>
  <si>
    <t>426021AUZ702036</t>
  </si>
  <si>
    <t>TATA MOTORS LTD LPT2515TC EX48806 2RHD B2 1210</t>
  </si>
  <si>
    <t>5883 / 28000</t>
  </si>
  <si>
    <t>2005 / 07-02-2005</t>
  </si>
  <si>
    <t>Period of Insurance(From)</t>
  </si>
  <si>
    <t>Period of Insurance(To)</t>
  </si>
  <si>
    <t>ELECTRICAL ACCESSORIES IDV</t>
  </si>
  <si>
    <t>TOTAL IDV (VALUE)</t>
  </si>
  <si>
    <t>IMT23</t>
  </si>
  <si>
    <t>IMT24</t>
  </si>
  <si>
    <t>IMT25</t>
  </si>
  <si>
    <t>No Claim Bonus</t>
  </si>
  <si>
    <t>IMT17</t>
  </si>
  <si>
    <t>IMT28</t>
  </si>
  <si>
    <t>LIABILITY PREMIUM</t>
  </si>
  <si>
    <t>TOTAL GST</t>
  </si>
  <si>
    <t>TOTAL OD PREMIUM</t>
  </si>
  <si>
    <t>OD PREMIUM</t>
  </si>
  <si>
    <t>ELECTRICAL ACCESSORIES / CNG/LPG IDV</t>
  </si>
  <si>
    <t>2018 / 13-06-2018</t>
  </si>
  <si>
    <t>Data-OLD</t>
  </si>
  <si>
    <t>Data-NEW</t>
  </si>
  <si>
    <t>Difference (OLD-NEW)</t>
  </si>
  <si>
    <t>70K62608759</t>
  </si>
  <si>
    <t>415206KSZ225493</t>
  </si>
  <si>
    <t>2007 / 28-12-2007</t>
  </si>
  <si>
    <t>TATA LPS3518 CR</t>
  </si>
  <si>
    <t>2018 / 26-02-2018</t>
  </si>
  <si>
    <t>MAT503020HAN13178</t>
  </si>
  <si>
    <t>71K84423173</t>
  </si>
  <si>
    <t>AVO/2315/20047578</t>
  </si>
  <si>
    <t>IMT29</t>
  </si>
  <si>
    <t>VGC1490403000100</t>
  </si>
  <si>
    <t>CNG KIT IDV</t>
  </si>
  <si>
    <t>IMT252</t>
  </si>
  <si>
    <t>AVO/2315/20069965</t>
  </si>
  <si>
    <t>80G62696392</t>
  </si>
  <si>
    <t>415206GRZ219067</t>
  </si>
  <si>
    <t>TATA MOTORS LTD LPS3516TC EX ABS3200</t>
  </si>
  <si>
    <t>5883/39500</t>
  </si>
  <si>
    <t>2008 / 25-09-2008</t>
  </si>
  <si>
    <t>51H84248310</t>
  </si>
  <si>
    <t>MAT503017FAN12557</t>
  </si>
  <si>
    <t>TATA MOTORS,LPS 3518-TC BS III HAULAGE TRACTOR SLPR CAB</t>
  </si>
  <si>
    <t xml:space="preserve">B591803231C63317658 </t>
  </si>
  <si>
    <t>MAT447220D3C06249</t>
  </si>
  <si>
    <t>AVO/2315/20102500</t>
  </si>
  <si>
    <t>TATA MOTORS LTD LPS*3516TC EX ABS*CAB4*2*RAD</t>
  </si>
  <si>
    <t>2007 / 27-11-2007</t>
  </si>
  <si>
    <t>3379/04676162/000/00</t>
  </si>
  <si>
    <t>2015 / 10-05-2016</t>
  </si>
  <si>
    <t>AVO/2315/20104965</t>
  </si>
  <si>
    <t>2013 / 21-06-2013</t>
  </si>
  <si>
    <t>AVO/2315/20107139</t>
  </si>
  <si>
    <t>TATA MOTORS LTD LPS*3516TC EX ABS*CAB4*2* RAD</t>
  </si>
  <si>
    <t>D196440434 / 07042025</t>
  </si>
  <si>
    <t>AVO/2315/20117977</t>
  </si>
  <si>
    <t>50A62380335</t>
  </si>
  <si>
    <t>021AUZ702184</t>
  </si>
  <si>
    <t>TATA MOTORS LTD LPT2515TC EX48806*2RH D B2 1210</t>
  </si>
  <si>
    <t>AVO/2315/20128523</t>
  </si>
  <si>
    <t>11M63216432</t>
  </si>
  <si>
    <t>MAT466385C5A01411</t>
  </si>
  <si>
    <t>213001/31/27/001982</t>
  </si>
  <si>
    <t xml:space="preserve">GEPZ109222 </t>
  </si>
  <si>
    <t>MB1TRVHD0GPES9238</t>
  </si>
  <si>
    <t>ASHOK LEYLAND - U 4019 IL FBV TRI AXLE FLAT BED TRAILER / DIESEL</t>
  </si>
  <si>
    <t>5760 / 45500</t>
  </si>
  <si>
    <t>2016 / 06-06-2016</t>
  </si>
  <si>
    <t>AVO/2315/20137869</t>
  </si>
  <si>
    <t>21G63271258</t>
  </si>
  <si>
    <t>MAT503010CAG05738</t>
  </si>
  <si>
    <t>TATA MOTORS LTD LPS3518TC/32 TIPPER</t>
  </si>
  <si>
    <t>5883 / 35000</t>
  </si>
  <si>
    <t>5883 / 39200</t>
  </si>
  <si>
    <t>5883 / 25000</t>
  </si>
  <si>
    <t>2012 / 04-09-2012</t>
  </si>
  <si>
    <t>2012 / 27-02-2012</t>
  </si>
  <si>
    <t>AVO/2315/20151800</t>
  </si>
  <si>
    <t>61G84322207</t>
  </si>
  <si>
    <t>MAT447224G5G12208</t>
  </si>
  <si>
    <t>TATA MOTORS LPS 4018 CR BS IV GVW 45500</t>
  </si>
  <si>
    <t>2016 / 03-10-2016</t>
  </si>
  <si>
    <t>VGC1555394000100</t>
  </si>
  <si>
    <t>B591803231C63316371</t>
  </si>
  <si>
    <t>MAT447220D3C05567</t>
  </si>
  <si>
    <t>TATA MOTORS LPS 4018 TIPPER</t>
  </si>
  <si>
    <t>5883 /45500</t>
  </si>
  <si>
    <t>2013 / 18-06-2013</t>
  </si>
  <si>
    <t>TIPPER STATUS PENDING IN RC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</si>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</sst>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43" formatCode="_ * #,##0.00_ ;_ * \-#,##0.00_ ;_ * &quot;-&quot;??_ ;_ @_ "/>
    <numFmt numFmtId="164" formatCode="&quot;₹&quot;\ #,##0"/>
  </numFmts>
  <fonts count="1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FF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FFFFFF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7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349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 applyAlignment="1">
      <alignment horizontal="right" vertical="center"/>
    </xf>
    <xf numFmtId="9" fontId="2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2" fillId="0" borderId="3" xfId="0" applyFont="1" applyBorder="1" applyAlignment="1">
      <alignment horizontal="left" vertical="center"/>
    </xf>
    <xf numFmtId="9" fontId="2" fillId="0" borderId="3" xfId="0" applyNumberFormat="1" applyFont="1" applyBorder="1" applyAlignment="1">
      <alignment horizontal="left" vertical="center"/>
    </xf>
    <xf numFmtId="14" fontId="1" fillId="0" borderId="3" xfId="0" applyNumberFormat="1" applyFont="1" applyBorder="1" applyAlignment="1">
      <alignment horizontal="left" vertical="center"/>
    </xf>
    <xf numFmtId="0" fontId="1" fillId="0" borderId="3" xfId="0" applyFont="1" applyBorder="1" applyAlignment="1">
      <alignment horizontal="center"/>
    </xf>
    <xf numFmtId="0" fontId="2" fillId="0" borderId="8" xfId="0" applyFont="1" applyBorder="1" applyAlignment="1">
      <alignment horizontal="right" vertical="center"/>
    </xf>
    <xf numFmtId="0" fontId="4" fillId="0" borderId="8" xfId="0" applyFont="1" applyBorder="1" applyAlignment="1">
      <alignment horizontal="righ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5" borderId="8" xfId="0" applyFont="1" applyFill="1" applyBorder="1" applyAlignment="1">
      <alignment horizontal="right" vertical="center"/>
    </xf>
    <xf numFmtId="0" fontId="1" fillId="5" borderId="9" xfId="0" applyFont="1" applyFill="1" applyBorder="1" applyAlignment="1">
      <alignment horizontal="righ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2" fillId="5" borderId="8" xfId="0" applyFont="1" applyFill="1" applyBorder="1" applyAlignment="1">
      <alignment horizontal="right" vertical="center"/>
    </xf>
    <xf numFmtId="43" fontId="2" fillId="0" borderId="10" xfId="1" applyFont="1" applyBorder="1" applyAlignment="1">
      <alignment horizontal="right" vertical="center"/>
    </xf>
    <xf numFmtId="43" fontId="2" fillId="0" borderId="10" xfId="1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6" borderId="13" xfId="0" applyFont="1" applyFill="1" applyBorder="1" applyAlignment="1">
      <alignment horizontal="right" vertical="center"/>
    </xf>
    <xf numFmtId="0" fontId="2" fillId="6" borderId="13" xfId="0" applyFont="1" applyFill="1" applyBorder="1" applyAlignment="1">
      <alignment horizontal="right" vertical="center"/>
    </xf>
    <xf numFmtId="0" fontId="1" fillId="6" borderId="14" xfId="0" applyFont="1" applyFill="1" applyBorder="1" applyAlignment="1">
      <alignment horizontal="right" vertical="center"/>
    </xf>
    <xf numFmtId="14" fontId="1" fillId="7" borderId="8" xfId="0" applyNumberFormat="1" applyFont="1" applyFill="1" applyBorder="1" applyAlignment="1">
      <alignment horizontal="right" vertical="center"/>
    </xf>
    <xf numFmtId="43" fontId="2" fillId="0" borderId="2" xfId="1" applyFont="1" applyBorder="1" applyAlignment="1">
      <alignment vertical="center"/>
    </xf>
    <xf numFmtId="0" fontId="2" fillId="0" borderId="0" xfId="0" applyFont="1" applyAlignment="1">
      <alignment vertical="center"/>
    </xf>
    <xf numFmtId="14" fontId="1" fillId="9" borderId="13" xfId="0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1" fillId="0" borderId="8" xfId="0" applyFont="1" applyBorder="1" applyAlignment="1">
      <alignment horizontal="right" vertical="center"/>
    </xf>
    <xf numFmtId="9" fontId="1" fillId="0" borderId="1" xfId="0" applyNumberFormat="1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43" fontId="1" fillId="0" borderId="22" xfId="1" applyFont="1" applyBorder="1" applyAlignment="1">
      <alignment vertical="center"/>
    </xf>
    <xf numFmtId="0" fontId="1" fillId="0" borderId="23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43" fontId="1" fillId="5" borderId="10" xfId="1" applyFont="1" applyFill="1" applyBorder="1" applyAlignment="1">
      <alignment horizontal="right" vertical="center"/>
    </xf>
    <xf numFmtId="0" fontId="1" fillId="0" borderId="24" xfId="0" applyFont="1" applyBorder="1" applyAlignment="1">
      <alignment horizontal="right" vertical="center"/>
    </xf>
    <xf numFmtId="0" fontId="1" fillId="0" borderId="25" xfId="0" applyFont="1" applyBorder="1" applyAlignment="1">
      <alignment horizontal="left" vertical="center"/>
    </xf>
    <xf numFmtId="0" fontId="3" fillId="0" borderId="27" xfId="0" applyFont="1" applyBorder="1" applyAlignment="1">
      <alignment horizontal="right" vertical="center"/>
    </xf>
    <xf numFmtId="0" fontId="1" fillId="0" borderId="28" xfId="0" applyFont="1" applyBorder="1" applyAlignment="1">
      <alignment horizontal="left" vertical="center"/>
    </xf>
    <xf numFmtId="0" fontId="1" fillId="0" borderId="26" xfId="0" applyFont="1" applyBorder="1" applyAlignment="1">
      <alignment horizontal="left" vertical="center"/>
    </xf>
    <xf numFmtId="0" fontId="1" fillId="5" borderId="27" xfId="0" applyFont="1" applyFill="1" applyBorder="1" applyAlignment="1">
      <alignment horizontal="left" vertical="center"/>
    </xf>
    <xf numFmtId="0" fontId="1" fillId="0" borderId="29" xfId="0" applyFont="1" applyBorder="1" applyAlignment="1">
      <alignment vertical="center"/>
    </xf>
    <xf numFmtId="0" fontId="1" fillId="9" borderId="30" xfId="0" applyFont="1" applyFill="1" applyBorder="1" applyAlignment="1">
      <alignment horizontal="left" vertical="center"/>
    </xf>
    <xf numFmtId="0" fontId="1" fillId="7" borderId="27" xfId="0" applyFont="1" applyFill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9" fontId="2" fillId="0" borderId="32" xfId="0" applyNumberFormat="1" applyFont="1" applyBorder="1" applyAlignment="1">
      <alignment horizontal="left" vertical="center"/>
    </xf>
    <xf numFmtId="0" fontId="1" fillId="0" borderId="32" xfId="0" applyFont="1" applyBorder="1" applyAlignment="1">
      <alignment horizontal="left" vertical="center"/>
    </xf>
    <xf numFmtId="14" fontId="1" fillId="0" borderId="32" xfId="0" applyNumberFormat="1" applyFont="1" applyBorder="1" applyAlignment="1">
      <alignment horizontal="left" vertical="center"/>
    </xf>
    <xf numFmtId="0" fontId="1" fillId="0" borderId="32" xfId="0" applyFont="1" applyBorder="1" applyAlignment="1">
      <alignment horizontal="center"/>
    </xf>
    <xf numFmtId="0" fontId="2" fillId="0" borderId="35" xfId="0" applyFont="1" applyBorder="1" applyAlignment="1">
      <alignment horizontal="left" vertical="center"/>
    </xf>
    <xf numFmtId="0" fontId="2" fillId="0" borderId="41" xfId="0" applyFont="1" applyBorder="1" applyAlignment="1">
      <alignment horizontal="right" vertical="center"/>
    </xf>
    <xf numFmtId="0" fontId="2" fillId="0" borderId="15" xfId="0" applyFont="1" applyBorder="1" applyAlignment="1">
      <alignment horizontal="right" vertical="center"/>
    </xf>
    <xf numFmtId="43" fontId="1" fillId="0" borderId="10" xfId="1" applyFont="1" applyBorder="1" applyAlignment="1">
      <alignment vertical="center"/>
    </xf>
    <xf numFmtId="0" fontId="2" fillId="0" borderId="39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1" fillId="0" borderId="37" xfId="0" applyFont="1" applyBorder="1" applyAlignment="1">
      <alignment horizontal="left" vertical="center"/>
    </xf>
    <xf numFmtId="0" fontId="1" fillId="0" borderId="39" xfId="0" applyFont="1" applyBorder="1" applyAlignment="1">
      <alignment horizontal="left" vertical="center"/>
    </xf>
    <xf numFmtId="0" fontId="1" fillId="5" borderId="41" xfId="0" applyFont="1" applyFill="1" applyBorder="1" applyAlignment="1">
      <alignment horizontal="right" vertical="center"/>
    </xf>
    <xf numFmtId="0" fontId="1" fillId="5" borderId="15" xfId="0" applyFont="1" applyFill="1" applyBorder="1" applyAlignment="1">
      <alignment horizontal="right" vertical="center"/>
    </xf>
    <xf numFmtId="0" fontId="1" fillId="0" borderId="37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5" borderId="41" xfId="0" applyFont="1" applyFill="1" applyBorder="1" applyAlignment="1">
      <alignment horizontal="right" vertical="center"/>
    </xf>
    <xf numFmtId="0" fontId="2" fillId="6" borderId="42" xfId="0" applyFont="1" applyFill="1" applyBorder="1" applyAlignment="1">
      <alignment horizontal="right" vertical="center"/>
    </xf>
    <xf numFmtId="0" fontId="2" fillId="10" borderId="32" xfId="0" applyFont="1" applyFill="1" applyBorder="1" applyAlignment="1">
      <alignment horizontal="left" vertical="center"/>
    </xf>
    <xf numFmtId="0" fontId="2" fillId="10" borderId="41" xfId="0" applyFont="1" applyFill="1" applyBorder="1" applyAlignment="1">
      <alignment horizontal="right" vertical="center"/>
    </xf>
    <xf numFmtId="0" fontId="2" fillId="10" borderId="35" xfId="0" applyFont="1" applyFill="1" applyBorder="1" applyAlignment="1">
      <alignment horizontal="left" vertical="center"/>
    </xf>
    <xf numFmtId="0" fontId="2" fillId="10" borderId="15" xfId="0" applyFont="1" applyFill="1" applyBorder="1" applyAlignment="1">
      <alignment horizontal="right" vertical="center"/>
    </xf>
    <xf numFmtId="0" fontId="1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14" fontId="1" fillId="9" borderId="42" xfId="0" applyNumberFormat="1" applyFont="1" applyFill="1" applyBorder="1" applyAlignment="1">
      <alignment horizontal="right" vertical="center"/>
    </xf>
    <xf numFmtId="0" fontId="1" fillId="6" borderId="43" xfId="0" applyFont="1" applyFill="1" applyBorder="1" applyAlignment="1">
      <alignment horizontal="right" vertical="center"/>
    </xf>
    <xf numFmtId="0" fontId="2" fillId="10" borderId="31" xfId="0" applyFont="1" applyFill="1" applyBorder="1" applyAlignment="1">
      <alignment horizontal="left" vertical="center"/>
    </xf>
    <xf numFmtId="9" fontId="2" fillId="10" borderId="32" xfId="0" applyNumberFormat="1" applyFont="1" applyFill="1" applyBorder="1" applyAlignment="1">
      <alignment horizontal="left" vertical="center"/>
    </xf>
    <xf numFmtId="0" fontId="1" fillId="10" borderId="37" xfId="0" applyFont="1" applyFill="1" applyBorder="1" applyAlignment="1">
      <alignment horizontal="left" vertical="center"/>
    </xf>
    <xf numFmtId="0" fontId="2" fillId="10" borderId="34" xfId="0" applyFont="1" applyFill="1" applyBorder="1" applyAlignment="1">
      <alignment horizontal="left" vertical="center"/>
    </xf>
    <xf numFmtId="9" fontId="2" fillId="10" borderId="35" xfId="0" applyNumberFormat="1" applyFont="1" applyFill="1" applyBorder="1" applyAlignment="1">
      <alignment horizontal="left" vertical="center"/>
    </xf>
    <xf numFmtId="0" fontId="1" fillId="10" borderId="38" xfId="0" applyFont="1" applyFill="1" applyBorder="1" applyAlignment="1">
      <alignment horizontal="left" vertical="center"/>
    </xf>
    <xf numFmtId="0" fontId="1" fillId="10" borderId="39" xfId="0" applyFont="1" applyFill="1" applyBorder="1" applyAlignment="1">
      <alignment horizontal="left" vertical="center"/>
    </xf>
    <xf numFmtId="14" fontId="1" fillId="10" borderId="32" xfId="0" applyNumberFormat="1" applyFont="1" applyFill="1" applyBorder="1" applyAlignment="1">
      <alignment horizontal="left" vertical="center"/>
    </xf>
    <xf numFmtId="0" fontId="1" fillId="10" borderId="32" xfId="0" applyFont="1" applyFill="1" applyBorder="1" applyAlignment="1">
      <alignment horizontal="center"/>
    </xf>
    <xf numFmtId="0" fontId="1" fillId="10" borderId="32" xfId="0" applyFont="1" applyFill="1" applyBorder="1" applyAlignment="1">
      <alignment horizontal="left" vertical="center"/>
    </xf>
    <xf numFmtId="0" fontId="1" fillId="10" borderId="37" xfId="0" applyFont="1" applyFill="1" applyBorder="1" applyAlignment="1">
      <alignment vertical="center"/>
    </xf>
    <xf numFmtId="0" fontId="1" fillId="10" borderId="40" xfId="0" applyFont="1" applyFill="1" applyBorder="1" applyAlignment="1">
      <alignment horizontal="left" vertical="center"/>
    </xf>
    <xf numFmtId="14" fontId="1" fillId="10" borderId="35" xfId="0" applyNumberFormat="1" applyFont="1" applyFill="1" applyBorder="1" applyAlignment="1">
      <alignment horizontal="left" vertical="center"/>
    </xf>
    <xf numFmtId="0" fontId="1" fillId="10" borderId="35" xfId="0" applyFont="1" applyFill="1" applyBorder="1" applyAlignment="1">
      <alignment horizontal="center"/>
    </xf>
    <xf numFmtId="0" fontId="1" fillId="10" borderId="35" xfId="0" applyFont="1" applyFill="1" applyBorder="1" applyAlignment="1">
      <alignment horizontal="left" vertical="center"/>
    </xf>
    <xf numFmtId="0" fontId="1" fillId="10" borderId="38" xfId="0" applyFont="1" applyFill="1" applyBorder="1" applyAlignment="1">
      <alignment vertical="center"/>
    </xf>
    <xf numFmtId="14" fontId="1" fillId="7" borderId="41" xfId="0" applyNumberFormat="1" applyFont="1" applyFill="1" applyBorder="1" applyAlignment="1">
      <alignment horizontal="right" vertical="center"/>
    </xf>
    <xf numFmtId="0" fontId="2" fillId="10" borderId="39" xfId="0" applyFont="1" applyFill="1" applyBorder="1" applyAlignment="1">
      <alignment horizontal="left" vertical="center"/>
    </xf>
    <xf numFmtId="0" fontId="2" fillId="10" borderId="40" xfId="0" applyFont="1" applyFill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1" fillId="10" borderId="29" xfId="0" applyFont="1" applyFill="1" applyBorder="1" applyAlignment="1">
      <alignment horizontal="center" vertical="center"/>
    </xf>
    <xf numFmtId="0" fontId="1" fillId="10" borderId="22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2" fillId="10" borderId="48" xfId="0" applyFont="1" applyFill="1" applyBorder="1" applyAlignment="1">
      <alignment horizontal="left" vertical="center"/>
    </xf>
    <xf numFmtId="0" fontId="2" fillId="10" borderId="50" xfId="0" applyFont="1" applyFill="1" applyBorder="1" applyAlignment="1">
      <alignment horizontal="right" vertical="center"/>
    </xf>
    <xf numFmtId="0" fontId="2" fillId="10" borderId="47" xfId="0" applyFont="1" applyFill="1" applyBorder="1" applyAlignment="1">
      <alignment horizontal="left" vertical="center"/>
    </xf>
    <xf numFmtId="9" fontId="2" fillId="10" borderId="48" xfId="0" applyNumberFormat="1" applyFont="1" applyFill="1" applyBorder="1" applyAlignment="1">
      <alignment horizontal="left" vertical="center"/>
    </xf>
    <xf numFmtId="0" fontId="1" fillId="10" borderId="51" xfId="0" applyFont="1" applyFill="1" applyBorder="1" applyAlignment="1">
      <alignment horizontal="left" vertical="center"/>
    </xf>
    <xf numFmtId="0" fontId="1" fillId="5" borderId="50" xfId="0" applyFont="1" applyFill="1" applyBorder="1" applyAlignment="1">
      <alignment horizontal="right" vertical="center"/>
    </xf>
    <xf numFmtId="0" fontId="1" fillId="10" borderId="52" xfId="0" applyFont="1" applyFill="1" applyBorder="1" applyAlignment="1">
      <alignment horizontal="left" vertical="center"/>
    </xf>
    <xf numFmtId="14" fontId="1" fillId="10" borderId="48" xfId="0" applyNumberFormat="1" applyFont="1" applyFill="1" applyBorder="1" applyAlignment="1">
      <alignment horizontal="left" vertical="center"/>
    </xf>
    <xf numFmtId="0" fontId="1" fillId="10" borderId="48" xfId="0" applyFont="1" applyFill="1" applyBorder="1" applyAlignment="1">
      <alignment horizontal="center"/>
    </xf>
    <xf numFmtId="0" fontId="1" fillId="10" borderId="48" xfId="0" applyFont="1" applyFill="1" applyBorder="1" applyAlignment="1">
      <alignment horizontal="left" vertical="center"/>
    </xf>
    <xf numFmtId="0" fontId="1" fillId="10" borderId="49" xfId="0" applyFont="1" applyFill="1" applyBorder="1" applyAlignment="1">
      <alignment vertical="center"/>
    </xf>
    <xf numFmtId="0" fontId="1" fillId="6" borderId="53" xfId="0" applyFont="1" applyFill="1" applyBorder="1" applyAlignment="1">
      <alignment horizontal="right" vertical="center"/>
    </xf>
    <xf numFmtId="0" fontId="1" fillId="0" borderId="27" xfId="0" applyFont="1" applyBorder="1" applyAlignment="1">
      <alignment horizontal="left" vertical="center"/>
    </xf>
    <xf numFmtId="0" fontId="1" fillId="5" borderId="27" xfId="0" applyFont="1" applyFill="1" applyBorder="1" applyAlignment="1">
      <alignment horizontal="right" vertical="center"/>
    </xf>
    <xf numFmtId="14" fontId="1" fillId="7" borderId="27" xfId="0" applyNumberFormat="1" applyFont="1" applyFill="1" applyBorder="1" applyAlignment="1">
      <alignment horizontal="right" vertical="center"/>
    </xf>
    <xf numFmtId="0" fontId="1" fillId="5" borderId="10" xfId="0" applyFont="1" applyFill="1" applyBorder="1" applyAlignment="1">
      <alignment horizontal="right" vertical="center"/>
    </xf>
    <xf numFmtId="14" fontId="1" fillId="9" borderId="54" xfId="0" applyNumberFormat="1" applyFont="1" applyFill="1" applyBorder="1" applyAlignment="1">
      <alignment horizontal="right" vertical="center"/>
    </xf>
    <xf numFmtId="14" fontId="1" fillId="7" borderId="10" xfId="0" applyNumberFormat="1" applyFont="1" applyFill="1" applyBorder="1" applyAlignment="1">
      <alignment horizontal="right" vertical="center"/>
    </xf>
    <xf numFmtId="0" fontId="2" fillId="10" borderId="29" xfId="0" applyFont="1" applyFill="1" applyBorder="1" applyAlignment="1">
      <alignment horizontal="center" vertical="center"/>
    </xf>
    <xf numFmtId="0" fontId="2" fillId="10" borderId="25" xfId="0" applyFont="1" applyFill="1" applyBorder="1" applyAlignment="1">
      <alignment horizontal="left" vertical="center"/>
    </xf>
    <xf numFmtId="0" fontId="2" fillId="10" borderId="27" xfId="0" applyFont="1" applyFill="1" applyBorder="1" applyAlignment="1">
      <alignment horizontal="right" vertical="center"/>
    </xf>
    <xf numFmtId="0" fontId="2" fillId="10" borderId="28" xfId="0" applyFont="1" applyFill="1" applyBorder="1" applyAlignment="1">
      <alignment horizontal="left" vertical="center"/>
    </xf>
    <xf numFmtId="9" fontId="2" fillId="10" borderId="25" xfId="0" applyNumberFormat="1" applyFont="1" applyFill="1" applyBorder="1" applyAlignment="1">
      <alignment horizontal="left" vertical="center"/>
    </xf>
    <xf numFmtId="0" fontId="1" fillId="10" borderId="26" xfId="0" applyFont="1" applyFill="1" applyBorder="1" applyAlignment="1">
      <alignment horizontal="left" vertical="center"/>
    </xf>
    <xf numFmtId="0" fontId="2" fillId="10" borderId="20" xfId="0" applyFont="1" applyFill="1" applyBorder="1" applyAlignment="1">
      <alignment horizontal="left" vertical="center"/>
    </xf>
    <xf numFmtId="0" fontId="2" fillId="10" borderId="10" xfId="0" applyFont="1" applyFill="1" applyBorder="1" applyAlignment="1">
      <alignment horizontal="right" vertical="center"/>
    </xf>
    <xf numFmtId="0" fontId="2" fillId="10" borderId="23" xfId="0" applyFont="1" applyFill="1" applyBorder="1" applyAlignment="1">
      <alignment horizontal="left" vertical="center"/>
    </xf>
    <xf numFmtId="9" fontId="2" fillId="10" borderId="20" xfId="0" applyNumberFormat="1" applyFont="1" applyFill="1" applyBorder="1" applyAlignment="1">
      <alignment horizontal="left" vertical="center"/>
    </xf>
    <xf numFmtId="0" fontId="1" fillId="10" borderId="21" xfId="0" applyFont="1" applyFill="1" applyBorder="1" applyAlignment="1">
      <alignment horizontal="left" vertical="center"/>
    </xf>
    <xf numFmtId="0" fontId="1" fillId="10" borderId="28" xfId="0" applyFont="1" applyFill="1" applyBorder="1" applyAlignment="1">
      <alignment horizontal="left" vertical="center"/>
    </xf>
    <xf numFmtId="14" fontId="1" fillId="10" borderId="25" xfId="0" applyNumberFormat="1" applyFont="1" applyFill="1" applyBorder="1" applyAlignment="1">
      <alignment horizontal="left" vertical="center"/>
    </xf>
    <xf numFmtId="0" fontId="1" fillId="10" borderId="25" xfId="0" applyFont="1" applyFill="1" applyBorder="1" applyAlignment="1">
      <alignment horizontal="center"/>
    </xf>
    <xf numFmtId="0" fontId="1" fillId="10" borderId="25" xfId="0" applyFont="1" applyFill="1" applyBorder="1" applyAlignment="1">
      <alignment horizontal="left" vertical="center"/>
    </xf>
    <xf numFmtId="0" fontId="1" fillId="10" borderId="26" xfId="0" applyFont="1" applyFill="1" applyBorder="1" applyAlignment="1">
      <alignment vertical="center"/>
    </xf>
    <xf numFmtId="0" fontId="1" fillId="10" borderId="23" xfId="0" applyFont="1" applyFill="1" applyBorder="1" applyAlignment="1">
      <alignment horizontal="left" vertical="center"/>
    </xf>
    <xf numFmtId="14" fontId="1" fillId="10" borderId="20" xfId="0" applyNumberFormat="1" applyFont="1" applyFill="1" applyBorder="1" applyAlignment="1">
      <alignment horizontal="left" vertical="center"/>
    </xf>
    <xf numFmtId="0" fontId="1" fillId="10" borderId="20" xfId="0" applyFont="1" applyFill="1" applyBorder="1" applyAlignment="1">
      <alignment horizontal="center"/>
    </xf>
    <xf numFmtId="0" fontId="1" fillId="10" borderId="20" xfId="0" applyFont="1" applyFill="1" applyBorder="1" applyAlignment="1">
      <alignment horizontal="left" vertical="center"/>
    </xf>
    <xf numFmtId="0" fontId="1" fillId="10" borderId="21" xfId="0" applyFont="1" applyFill="1" applyBorder="1" applyAlignment="1">
      <alignment vertical="center"/>
    </xf>
    <xf numFmtId="0" fontId="2" fillId="10" borderId="3" xfId="0" applyFont="1" applyFill="1" applyBorder="1" applyAlignment="1">
      <alignment horizontal="left" vertical="center"/>
    </xf>
    <xf numFmtId="0" fontId="2" fillId="10" borderId="9" xfId="0" applyFont="1" applyFill="1" applyBorder="1" applyAlignment="1">
      <alignment horizontal="right" vertical="center"/>
    </xf>
    <xf numFmtId="0" fontId="2" fillId="10" borderId="7" xfId="0" applyFont="1" applyFill="1" applyBorder="1" applyAlignment="1">
      <alignment horizontal="left" vertical="center"/>
    </xf>
    <xf numFmtId="9" fontId="2" fillId="10" borderId="3" xfId="0" applyNumberFormat="1" applyFont="1" applyFill="1" applyBorder="1" applyAlignment="1">
      <alignment horizontal="left" vertical="center"/>
    </xf>
    <xf numFmtId="0" fontId="1" fillId="10" borderId="55" xfId="0" applyFont="1" applyFill="1" applyBorder="1" applyAlignment="1">
      <alignment horizontal="left" vertical="center"/>
    </xf>
    <xf numFmtId="0" fontId="1" fillId="10" borderId="56" xfId="0" applyFont="1" applyFill="1" applyBorder="1" applyAlignment="1">
      <alignment horizontal="left" vertical="center"/>
    </xf>
    <xf numFmtId="14" fontId="1" fillId="10" borderId="3" xfId="0" applyNumberFormat="1" applyFont="1" applyFill="1" applyBorder="1" applyAlignment="1">
      <alignment horizontal="left" vertical="center"/>
    </xf>
    <xf numFmtId="0" fontId="1" fillId="10" borderId="3" xfId="0" applyFont="1" applyFill="1" applyBorder="1" applyAlignment="1">
      <alignment horizontal="center"/>
    </xf>
    <xf numFmtId="0" fontId="1" fillId="10" borderId="3" xfId="0" applyFont="1" applyFill="1" applyBorder="1" applyAlignment="1">
      <alignment horizontal="left" vertical="center"/>
    </xf>
    <xf numFmtId="0" fontId="1" fillId="10" borderId="5" xfId="0" applyFont="1" applyFill="1" applyBorder="1" applyAlignment="1">
      <alignment vertical="center"/>
    </xf>
    <xf numFmtId="0" fontId="1" fillId="5" borderId="32" xfId="0" applyFont="1" applyFill="1" applyBorder="1" applyAlignment="1">
      <alignment horizontal="right" vertical="center"/>
    </xf>
    <xf numFmtId="0" fontId="2" fillId="10" borderId="34" xfId="0" applyFont="1" applyFill="1" applyBorder="1" applyAlignment="1">
      <alignment horizontal="center" vertical="center"/>
    </xf>
    <xf numFmtId="0" fontId="2" fillId="10" borderId="35" xfId="0" applyFont="1" applyFill="1" applyBorder="1" applyAlignment="1">
      <alignment horizontal="right" vertical="center"/>
    </xf>
    <xf numFmtId="0" fontId="1" fillId="5" borderId="35" xfId="0" applyFont="1" applyFill="1" applyBorder="1" applyAlignment="1">
      <alignment horizontal="right" vertical="center"/>
    </xf>
    <xf numFmtId="0" fontId="1" fillId="10" borderId="35" xfId="0" applyFont="1" applyFill="1" applyBorder="1" applyAlignment="1">
      <alignment vertical="center"/>
    </xf>
    <xf numFmtId="14" fontId="1" fillId="9" borderId="35" xfId="0" applyNumberFormat="1" applyFont="1" applyFill="1" applyBorder="1" applyAlignment="1">
      <alignment horizontal="right" vertical="center"/>
    </xf>
    <xf numFmtId="14" fontId="1" fillId="7" borderId="36" xfId="0" applyNumberFormat="1" applyFont="1" applyFill="1" applyBorder="1" applyAlignment="1">
      <alignment horizontal="right" vertical="center"/>
    </xf>
    <xf numFmtId="0" fontId="2" fillId="10" borderId="31" xfId="0" applyFont="1" applyFill="1" applyBorder="1" applyAlignment="1">
      <alignment horizontal="center" vertical="center"/>
    </xf>
    <xf numFmtId="0" fontId="2" fillId="10" borderId="32" xfId="0" applyFont="1" applyFill="1" applyBorder="1" applyAlignment="1">
      <alignment horizontal="right" vertical="center"/>
    </xf>
    <xf numFmtId="0" fontId="2" fillId="10" borderId="57" xfId="0" applyFont="1" applyFill="1" applyBorder="1" applyAlignment="1">
      <alignment horizontal="right" vertical="center"/>
    </xf>
    <xf numFmtId="0" fontId="2" fillId="10" borderId="58" xfId="0" applyFont="1" applyFill="1" applyBorder="1" applyAlignment="1">
      <alignment horizontal="right" vertical="center"/>
    </xf>
    <xf numFmtId="0" fontId="2" fillId="10" borderId="46" xfId="0" applyFont="1" applyFill="1" applyBorder="1" applyAlignment="1">
      <alignment horizontal="center" vertical="center"/>
    </xf>
    <xf numFmtId="0" fontId="2" fillId="10" borderId="17" xfId="0" applyFont="1" applyFill="1" applyBorder="1" applyAlignment="1">
      <alignment horizontal="left" vertical="center"/>
    </xf>
    <xf numFmtId="0" fontId="1" fillId="10" borderId="31" xfId="0" applyFont="1" applyFill="1" applyBorder="1" applyAlignment="1">
      <alignment horizontal="center" vertical="center"/>
    </xf>
    <xf numFmtId="0" fontId="1" fillId="10" borderId="34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2" fillId="0" borderId="44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2" fillId="0" borderId="45" xfId="0" applyFont="1" applyBorder="1" applyAlignment="1">
      <alignment horizontal="left" vertical="center"/>
    </xf>
    <xf numFmtId="0" fontId="1" fillId="10" borderId="29" xfId="0" applyFont="1" applyFill="1" applyBorder="1" applyAlignment="1">
      <alignment horizontal="left" vertical="center"/>
    </xf>
    <xf numFmtId="0" fontId="2" fillId="10" borderId="45" xfId="0" applyFont="1" applyFill="1" applyBorder="1" applyAlignment="1">
      <alignment horizontal="left" vertical="center"/>
    </xf>
    <xf numFmtId="0" fontId="2" fillId="10" borderId="29" xfId="0" applyFont="1" applyFill="1" applyBorder="1" applyAlignment="1">
      <alignment horizontal="left" vertical="center"/>
    </xf>
    <xf numFmtId="0" fontId="1" fillId="10" borderId="46" xfId="0" applyFont="1" applyFill="1" applyBorder="1" applyAlignment="1">
      <alignment horizontal="left" vertical="center"/>
    </xf>
    <xf numFmtId="0" fontId="2" fillId="10" borderId="38" xfId="0" applyFont="1" applyFill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14" fontId="2" fillId="0" borderId="41" xfId="0" applyNumberFormat="1" applyFont="1" applyBorder="1" applyAlignment="1">
      <alignment horizontal="left" vertical="center"/>
    </xf>
    <xf numFmtId="14" fontId="2" fillId="0" borderId="8" xfId="0" applyNumberFormat="1" applyFont="1" applyBorder="1" applyAlignment="1">
      <alignment horizontal="left" vertical="center"/>
    </xf>
    <xf numFmtId="14" fontId="4" fillId="0" borderId="8" xfId="0" applyNumberFormat="1" applyFont="1" applyBorder="1" applyAlignment="1">
      <alignment horizontal="left" vertical="center"/>
    </xf>
    <xf numFmtId="14" fontId="1" fillId="0" borderId="8" xfId="0" applyNumberFormat="1" applyFont="1" applyBorder="1" applyAlignment="1">
      <alignment horizontal="left" vertical="center"/>
    </xf>
    <xf numFmtId="14" fontId="2" fillId="0" borderId="15" xfId="0" applyNumberFormat="1" applyFont="1" applyBorder="1" applyAlignment="1">
      <alignment horizontal="left" vertical="center"/>
    </xf>
    <xf numFmtId="14" fontId="2" fillId="10" borderId="41" xfId="0" applyNumberFormat="1" applyFont="1" applyFill="1" applyBorder="1" applyAlignment="1">
      <alignment horizontal="left" vertical="center"/>
    </xf>
    <xf numFmtId="14" fontId="2" fillId="10" borderId="15" xfId="0" applyNumberFormat="1" applyFont="1" applyFill="1" applyBorder="1" applyAlignment="1">
      <alignment horizontal="left" vertical="center"/>
    </xf>
    <xf numFmtId="14" fontId="2" fillId="10" borderId="27" xfId="0" applyNumberFormat="1" applyFont="1" applyFill="1" applyBorder="1" applyAlignment="1">
      <alignment horizontal="left" vertical="center"/>
    </xf>
    <xf numFmtId="14" fontId="2" fillId="10" borderId="19" xfId="0" applyNumberFormat="1" applyFont="1" applyFill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2" fillId="0" borderId="40" xfId="0" applyFont="1" applyBorder="1" applyAlignment="1">
      <alignment horizontal="left" vertical="center"/>
    </xf>
    <xf numFmtId="0" fontId="2" fillId="10" borderId="16" xfId="0" applyFont="1" applyFill="1" applyBorder="1" applyAlignment="1">
      <alignment horizontal="left" vertical="center"/>
    </xf>
    <xf numFmtId="0" fontId="1" fillId="0" borderId="59" xfId="0" applyFont="1" applyBorder="1" applyAlignment="1">
      <alignment horizontal="left" vertical="center"/>
    </xf>
    <xf numFmtId="0" fontId="1" fillId="0" borderId="60" xfId="0" applyFont="1" applyBorder="1" applyAlignment="1">
      <alignment horizontal="left" vertical="center"/>
    </xf>
    <xf numFmtId="14" fontId="2" fillId="7" borderId="31" xfId="0" applyNumberFormat="1" applyFont="1" applyFill="1" applyBorder="1" applyAlignment="1">
      <alignment horizontal="left" vertical="center"/>
    </xf>
    <xf numFmtId="14" fontId="2" fillId="7" borderId="33" xfId="0" applyNumberFormat="1" applyFont="1" applyFill="1" applyBorder="1" applyAlignment="1">
      <alignment horizontal="left" vertical="center"/>
    </xf>
    <xf numFmtId="14" fontId="2" fillId="7" borderId="61" xfId="0" applyNumberFormat="1" applyFont="1" applyFill="1" applyBorder="1" applyAlignment="1">
      <alignment horizontal="left" vertical="center"/>
    </xf>
    <xf numFmtId="14" fontId="2" fillId="7" borderId="62" xfId="0" applyNumberFormat="1" applyFont="1" applyFill="1" applyBorder="1" applyAlignment="1">
      <alignment horizontal="left" vertical="center"/>
    </xf>
    <xf numFmtId="14" fontId="4" fillId="7" borderId="61" xfId="0" applyNumberFormat="1" applyFont="1" applyFill="1" applyBorder="1" applyAlignment="1">
      <alignment horizontal="left" vertical="center"/>
    </xf>
    <xf numFmtId="14" fontId="4" fillId="7" borderId="62" xfId="0" applyNumberFormat="1" applyFont="1" applyFill="1" applyBorder="1" applyAlignment="1">
      <alignment horizontal="left" vertical="center"/>
    </xf>
    <xf numFmtId="14" fontId="1" fillId="7" borderId="61" xfId="0" applyNumberFormat="1" applyFont="1" applyFill="1" applyBorder="1" applyAlignment="1">
      <alignment horizontal="left" vertical="center"/>
    </xf>
    <xf numFmtId="14" fontId="1" fillId="7" borderId="62" xfId="0" applyNumberFormat="1" applyFont="1" applyFill="1" applyBorder="1" applyAlignment="1">
      <alignment horizontal="left" vertical="center"/>
    </xf>
    <xf numFmtId="14" fontId="2" fillId="7" borderId="34" xfId="0" applyNumberFormat="1" applyFont="1" applyFill="1" applyBorder="1" applyAlignment="1">
      <alignment horizontal="left" vertical="center"/>
    </xf>
    <xf numFmtId="14" fontId="2" fillId="7" borderId="36" xfId="0" applyNumberFormat="1" applyFont="1" applyFill="1" applyBorder="1" applyAlignment="1">
      <alignment horizontal="left" vertical="center"/>
    </xf>
    <xf numFmtId="14" fontId="2" fillId="10" borderId="31" xfId="0" applyNumberFormat="1" applyFont="1" applyFill="1" applyBorder="1" applyAlignment="1">
      <alignment horizontal="left" vertical="center"/>
    </xf>
    <xf numFmtId="14" fontId="2" fillId="10" borderId="33" xfId="0" applyNumberFormat="1" applyFont="1" applyFill="1" applyBorder="1" applyAlignment="1">
      <alignment horizontal="left" vertical="center"/>
    </xf>
    <xf numFmtId="14" fontId="2" fillId="10" borderId="34" xfId="0" applyNumberFormat="1" applyFont="1" applyFill="1" applyBorder="1" applyAlignment="1">
      <alignment horizontal="left" vertical="center"/>
    </xf>
    <xf numFmtId="14" fontId="2" fillId="10" borderId="36" xfId="0" applyNumberFormat="1" applyFont="1" applyFill="1" applyBorder="1" applyAlignment="1">
      <alignment horizontal="left" vertical="center"/>
    </xf>
    <xf numFmtId="14" fontId="2" fillId="10" borderId="59" xfId="0" applyNumberFormat="1" applyFont="1" applyFill="1" applyBorder="1" applyAlignment="1">
      <alignment horizontal="left" vertical="center"/>
    </xf>
    <xf numFmtId="14" fontId="2" fillId="10" borderId="60" xfId="0" applyNumberFormat="1" applyFont="1" applyFill="1" applyBorder="1" applyAlignment="1">
      <alignment horizontal="left" vertical="center"/>
    </xf>
    <xf numFmtId="14" fontId="2" fillId="10" borderId="63" xfId="0" applyNumberFormat="1" applyFont="1" applyFill="1" applyBorder="1" applyAlignment="1">
      <alignment horizontal="left" vertical="center"/>
    </xf>
    <xf numFmtId="14" fontId="2" fillId="10" borderId="64" xfId="0" applyNumberFormat="1" applyFont="1" applyFill="1" applyBorder="1" applyAlignment="1">
      <alignment horizontal="left" vertical="center"/>
    </xf>
    <xf numFmtId="0" fontId="1" fillId="7" borderId="65" xfId="0" applyFont="1" applyFill="1" applyBorder="1" applyAlignment="1">
      <alignment horizontal="left" vertical="center"/>
    </xf>
    <xf numFmtId="0" fontId="1" fillId="7" borderId="66" xfId="0" applyFont="1" applyFill="1" applyBorder="1" applyAlignment="1">
      <alignment horizontal="left" vertical="center"/>
    </xf>
    <xf numFmtId="0" fontId="2" fillId="0" borderId="37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2" fillId="0" borderId="38" xfId="0" applyFont="1" applyBorder="1" applyAlignment="1">
      <alignment horizontal="left" vertical="center"/>
    </xf>
    <xf numFmtId="0" fontId="2" fillId="10" borderId="37" xfId="0" applyFont="1" applyFill="1" applyBorder="1" applyAlignment="1">
      <alignment horizontal="left" vertical="center"/>
    </xf>
    <xf numFmtId="0" fontId="2" fillId="10" borderId="26" xfId="0" applyFont="1" applyFill="1" applyBorder="1" applyAlignment="1">
      <alignment horizontal="left" vertical="center"/>
    </xf>
    <xf numFmtId="0" fontId="2" fillId="10" borderId="18" xfId="0" applyFont="1" applyFill="1" applyBorder="1" applyAlignment="1">
      <alignment horizontal="left" vertical="center"/>
    </xf>
    <xf numFmtId="0" fontId="3" fillId="0" borderId="28" xfId="0" applyFont="1" applyBorder="1" applyAlignment="1">
      <alignment horizontal="left" vertical="center"/>
    </xf>
    <xf numFmtId="14" fontId="2" fillId="0" borderId="31" xfId="0" applyNumberFormat="1" applyFont="1" applyBorder="1" applyAlignment="1">
      <alignment horizontal="left" vertical="center"/>
    </xf>
    <xf numFmtId="14" fontId="2" fillId="0" borderId="33" xfId="0" applyNumberFormat="1" applyFont="1" applyBorder="1" applyAlignment="1">
      <alignment horizontal="left" vertical="center"/>
    </xf>
    <xf numFmtId="14" fontId="2" fillId="0" borderId="61" xfId="0" applyNumberFormat="1" applyFont="1" applyBorder="1" applyAlignment="1">
      <alignment horizontal="left" vertical="center"/>
    </xf>
    <xf numFmtId="14" fontId="2" fillId="3" borderId="62" xfId="0" applyNumberFormat="1" applyFont="1" applyFill="1" applyBorder="1" applyAlignment="1">
      <alignment horizontal="left" vertical="center"/>
    </xf>
    <xf numFmtId="14" fontId="2" fillId="0" borderId="62" xfId="0" applyNumberFormat="1" applyFont="1" applyBorder="1" applyAlignment="1">
      <alignment horizontal="left" vertical="center"/>
    </xf>
    <xf numFmtId="14" fontId="2" fillId="2" borderId="62" xfId="0" applyNumberFormat="1" applyFont="1" applyFill="1" applyBorder="1" applyAlignment="1">
      <alignment horizontal="left" vertical="center"/>
    </xf>
    <xf numFmtId="0" fontId="4" fillId="0" borderId="61" xfId="0" applyFont="1" applyBorder="1" applyAlignment="1">
      <alignment horizontal="left" vertical="center"/>
    </xf>
    <xf numFmtId="0" fontId="4" fillId="3" borderId="62" xfId="0" applyFont="1" applyFill="1" applyBorder="1" applyAlignment="1">
      <alignment horizontal="left" vertical="center"/>
    </xf>
    <xf numFmtId="14" fontId="2" fillId="4" borderId="62" xfId="0" applyNumberFormat="1" applyFont="1" applyFill="1" applyBorder="1" applyAlignment="1">
      <alignment horizontal="left" vertical="center"/>
    </xf>
    <xf numFmtId="14" fontId="2" fillId="2" borderId="61" xfId="0" applyNumberFormat="1" applyFont="1" applyFill="1" applyBorder="1" applyAlignment="1">
      <alignment horizontal="left" vertical="center"/>
    </xf>
    <xf numFmtId="14" fontId="1" fillId="8" borderId="62" xfId="0" applyNumberFormat="1" applyFont="1" applyFill="1" applyBorder="1" applyAlignment="1">
      <alignment horizontal="left" vertical="center"/>
    </xf>
    <xf numFmtId="14" fontId="2" fillId="0" borderId="34" xfId="0" applyNumberFormat="1" applyFont="1" applyBorder="1" applyAlignment="1">
      <alignment horizontal="left" vertical="center"/>
    </xf>
    <xf numFmtId="14" fontId="2" fillId="3" borderId="36" xfId="0" applyNumberFormat="1" applyFont="1" applyFill="1" applyBorder="1" applyAlignment="1">
      <alignment horizontal="left" vertical="center"/>
    </xf>
    <xf numFmtId="0" fontId="1" fillId="0" borderId="65" xfId="0" applyFont="1" applyBorder="1" applyAlignment="1">
      <alignment horizontal="left" vertical="center"/>
    </xf>
    <xf numFmtId="0" fontId="1" fillId="0" borderId="66" xfId="0" applyFont="1" applyBorder="1" applyAlignment="1">
      <alignment horizontal="left" vertical="center"/>
    </xf>
    <xf numFmtId="0" fontId="3" fillId="0" borderId="26" xfId="0" applyFont="1" applyBorder="1" applyAlignment="1">
      <alignment horizontal="center" vertical="center"/>
    </xf>
    <xf numFmtId="0" fontId="1" fillId="0" borderId="4" xfId="0" quotePrefix="1" applyFont="1" applyBorder="1" applyAlignment="1">
      <alignment horizontal="left" vertical="center"/>
    </xf>
    <xf numFmtId="0" fontId="2" fillId="10" borderId="37" xfId="0" quotePrefix="1" applyFont="1" applyFill="1" applyBorder="1" applyAlignment="1">
      <alignment horizontal="left" vertical="center"/>
    </xf>
    <xf numFmtId="0" fontId="2" fillId="10" borderId="38" xfId="0" quotePrefix="1" applyFont="1" applyFill="1" applyBorder="1" applyAlignment="1">
      <alignment horizontal="left" vertical="center"/>
    </xf>
    <xf numFmtId="0" fontId="2" fillId="10" borderId="26" xfId="0" quotePrefix="1" applyFont="1" applyFill="1" applyBorder="1" applyAlignment="1">
      <alignment horizontal="left" vertical="center"/>
    </xf>
    <xf numFmtId="0" fontId="2" fillId="10" borderId="18" xfId="0" quotePrefix="1" applyFont="1" applyFill="1" applyBorder="1" applyAlignment="1">
      <alignment horizontal="left" vertical="center"/>
    </xf>
    <xf numFmtId="0" fontId="1" fillId="0" borderId="67" xfId="0" applyFont="1" applyBorder="1" applyAlignment="1">
      <alignment horizontal="center" vertical="center"/>
    </xf>
    <xf numFmtId="0" fontId="2" fillId="0" borderId="68" xfId="0" applyFont="1" applyBorder="1" applyAlignment="1">
      <alignment horizontal="right" vertical="center"/>
    </xf>
    <xf numFmtId="0" fontId="2" fillId="0" borderId="69" xfId="0" applyFont="1" applyBorder="1" applyAlignment="1">
      <alignment horizontal="right" vertical="center"/>
    </xf>
    <xf numFmtId="0" fontId="4" fillId="0" borderId="69" xfId="0" applyFont="1" applyBorder="1" applyAlignment="1">
      <alignment horizontal="right" vertical="center"/>
    </xf>
    <xf numFmtId="0" fontId="1" fillId="0" borderId="69" xfId="0" applyFont="1" applyBorder="1" applyAlignment="1">
      <alignment horizontal="right" vertical="center"/>
    </xf>
    <xf numFmtId="0" fontId="2" fillId="0" borderId="70" xfId="0" applyFont="1" applyBorder="1" applyAlignment="1">
      <alignment horizontal="right" vertical="center"/>
    </xf>
    <xf numFmtId="0" fontId="2" fillId="10" borderId="68" xfId="0" applyFont="1" applyFill="1" applyBorder="1" applyAlignment="1">
      <alignment horizontal="right" vertical="center"/>
    </xf>
    <xf numFmtId="0" fontId="2" fillId="10" borderId="70" xfId="0" applyFont="1" applyFill="1" applyBorder="1" applyAlignment="1">
      <alignment horizontal="right" vertical="center"/>
    </xf>
    <xf numFmtId="0" fontId="2" fillId="10" borderId="67" xfId="0" applyFont="1" applyFill="1" applyBorder="1" applyAlignment="1">
      <alignment horizontal="right" vertical="center"/>
    </xf>
    <xf numFmtId="0" fontId="2" fillId="10" borderId="24" xfId="0" applyFont="1" applyFill="1" applyBorder="1" applyAlignment="1">
      <alignment horizontal="right" vertical="center"/>
    </xf>
    <xf numFmtId="0" fontId="2" fillId="10" borderId="39" xfId="0" applyFont="1" applyFill="1" applyBorder="1" applyAlignment="1">
      <alignment horizontal="right" vertical="center"/>
    </xf>
    <xf numFmtId="0" fontId="2" fillId="10" borderId="40" xfId="0" applyFont="1" applyFill="1" applyBorder="1" applyAlignment="1">
      <alignment horizontal="right" vertical="center"/>
    </xf>
    <xf numFmtId="43" fontId="1" fillId="0" borderId="24" xfId="1" applyFont="1" applyBorder="1" applyAlignment="1">
      <alignment vertical="center"/>
    </xf>
    <xf numFmtId="0" fontId="3" fillId="0" borderId="27" xfId="0" applyFont="1" applyBorder="1" applyAlignment="1">
      <alignment horizontal="left" vertical="center"/>
    </xf>
    <xf numFmtId="0" fontId="2" fillId="10" borderId="19" xfId="0" applyFont="1" applyFill="1" applyBorder="1" applyAlignment="1">
      <alignment horizontal="right" vertical="center"/>
    </xf>
    <xf numFmtId="0" fontId="1" fillId="0" borderId="10" xfId="0" applyFont="1" applyBorder="1" applyAlignment="1">
      <alignment horizontal="right" vertical="center"/>
    </xf>
    <xf numFmtId="14" fontId="2" fillId="0" borderId="44" xfId="0" applyNumberFormat="1" applyFont="1" applyBorder="1" applyAlignment="1">
      <alignment horizontal="left" vertical="center"/>
    </xf>
    <xf numFmtId="14" fontId="2" fillId="0" borderId="12" xfId="0" applyNumberFormat="1" applyFont="1" applyBorder="1" applyAlignment="1">
      <alignment horizontal="left" vertical="center"/>
    </xf>
    <xf numFmtId="14" fontId="4" fillId="0" borderId="12" xfId="0" applyNumberFormat="1" applyFont="1" applyBorder="1" applyAlignment="1">
      <alignment horizontal="left" vertical="center"/>
    </xf>
    <xf numFmtId="14" fontId="1" fillId="0" borderId="12" xfId="0" applyNumberFormat="1" applyFont="1" applyBorder="1" applyAlignment="1">
      <alignment horizontal="left" vertical="center"/>
    </xf>
    <xf numFmtId="14" fontId="2" fillId="0" borderId="45" xfId="0" applyNumberFormat="1" applyFont="1" applyBorder="1" applyAlignment="1">
      <alignment horizontal="left" vertical="center"/>
    </xf>
    <xf numFmtId="14" fontId="2" fillId="10" borderId="44" xfId="0" applyNumberFormat="1" applyFont="1" applyFill="1" applyBorder="1" applyAlignment="1">
      <alignment horizontal="left" vertical="center"/>
    </xf>
    <xf numFmtId="14" fontId="2" fillId="10" borderId="45" xfId="0" applyNumberFormat="1" applyFont="1" applyFill="1" applyBorder="1" applyAlignment="1">
      <alignment horizontal="left" vertical="center"/>
    </xf>
    <xf numFmtId="14" fontId="2" fillId="10" borderId="29" xfId="0" applyNumberFormat="1" applyFont="1" applyFill="1" applyBorder="1" applyAlignment="1">
      <alignment horizontal="left" vertical="center"/>
    </xf>
    <xf numFmtId="14" fontId="2" fillId="10" borderId="46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/>
    </xf>
    <xf numFmtId="0" fontId="0" fillId="0" borderId="0" xfId="0" applyAlignment="1">
      <alignment horizontal="right"/>
    </xf>
    <xf numFmtId="0" fontId="2" fillId="10" borderId="33" xfId="0" quotePrefix="1" applyFont="1" applyFill="1" applyBorder="1" applyAlignment="1">
      <alignment horizontal="left" vertical="center"/>
    </xf>
    <xf numFmtId="0" fontId="2" fillId="10" borderId="36" xfId="0" applyFont="1" applyFill="1" applyBorder="1" applyAlignment="1">
      <alignment horizontal="left" vertical="center"/>
    </xf>
    <xf numFmtId="0" fontId="2" fillId="10" borderId="36" xfId="0" quotePrefix="1" applyFont="1" applyFill="1" applyBorder="1" applyAlignment="1">
      <alignment horizontal="left" vertical="center"/>
    </xf>
    <xf numFmtId="0" fontId="1" fillId="10" borderId="32" xfId="0" applyFont="1" applyFill="1" applyBorder="1" applyAlignment="1">
      <alignment vertical="center"/>
    </xf>
    <xf numFmtId="0" fontId="2" fillId="0" borderId="6" xfId="0" applyFont="1" applyBorder="1" applyAlignment="1">
      <alignment horizontal="left" vertical="center" wrapText="1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6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3" borderId="1" xfId="0" applyFill="1" applyBorder="1" applyAlignment="1">
      <alignment horizontal="left"/>
    </xf>
    <xf numFmtId="0" fontId="0" fillId="0" borderId="6" xfId="0" applyBorder="1" applyAlignment="1">
      <alignment horizontal="center"/>
    </xf>
    <xf numFmtId="6" fontId="0" fillId="0" borderId="4" xfId="0" applyNumberFormat="1" applyBorder="1" applyAlignment="1">
      <alignment horizontal="right"/>
    </xf>
    <xf numFmtId="6" fontId="0" fillId="0" borderId="3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6" fillId="0" borderId="48" xfId="0" applyFont="1" applyBorder="1" applyAlignment="1">
      <alignment horizontal="left"/>
    </xf>
    <xf numFmtId="0" fontId="6" fillId="0" borderId="47" xfId="0" applyFont="1" applyBorder="1" applyAlignment="1">
      <alignment horizontal="left"/>
    </xf>
    <xf numFmtId="0" fontId="0" fillId="0" borderId="5" xfId="0" applyBorder="1" applyAlignment="1">
      <alignment horizontal="left"/>
    </xf>
    <xf numFmtId="6" fontId="0" fillId="0" borderId="5" xfId="0" applyNumberFormat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164" fontId="0" fillId="0" borderId="5" xfId="0" applyNumberFormat="1" applyBorder="1"/>
    <xf numFmtId="0" fontId="0" fillId="0" borderId="14" xfId="0" applyBorder="1" applyAlignment="1">
      <alignment horizontal="center"/>
    </xf>
    <xf numFmtId="6" fontId="0" fillId="0" borderId="5" xfId="0" applyNumberFormat="1" applyBorder="1"/>
    <xf numFmtId="0" fontId="6" fillId="0" borderId="18" xfId="0" applyFont="1" applyBorder="1" applyAlignment="1">
      <alignment horizontal="left"/>
    </xf>
    <xf numFmtId="0" fontId="6" fillId="0" borderId="0" xfId="0" applyFont="1" applyAlignment="1">
      <alignment horizontal="right"/>
    </xf>
    <xf numFmtId="0" fontId="10" fillId="11" borderId="3" xfId="0" applyFont="1" applyFill="1" applyBorder="1" applyAlignment="1">
      <alignment horizontal="left"/>
    </xf>
    <xf numFmtId="0" fontId="10" fillId="11" borderId="7" xfId="0" applyFont="1" applyFill="1" applyBorder="1" applyAlignment="1">
      <alignment horizontal="center"/>
    </xf>
    <xf numFmtId="14" fontId="10" fillId="11" borderId="3" xfId="0" applyNumberFormat="1" applyFont="1" applyFill="1" applyBorder="1" applyAlignment="1">
      <alignment horizontal="left"/>
    </xf>
    <xf numFmtId="0" fontId="10" fillId="11" borderId="3" xfId="0" applyFont="1" applyFill="1" applyBorder="1"/>
    <xf numFmtId="6" fontId="10" fillId="11" borderId="3" xfId="0" applyNumberFormat="1" applyFont="1" applyFill="1" applyBorder="1" applyAlignment="1">
      <alignment horizontal="right"/>
    </xf>
    <xf numFmtId="0" fontId="6" fillId="0" borderId="48" xfId="0" applyFont="1" applyBorder="1"/>
    <xf numFmtId="0" fontId="6" fillId="0" borderId="49" xfId="0" applyFont="1" applyBorder="1" applyAlignment="1">
      <alignment horizontal="left"/>
    </xf>
    <xf numFmtId="0" fontId="6" fillId="7" borderId="6" xfId="0" applyFont="1" applyFill="1" applyBorder="1" applyAlignment="1">
      <alignment horizontal="center"/>
    </xf>
    <xf numFmtId="14" fontId="6" fillId="7" borderId="1" xfId="0" applyNumberFormat="1" applyFont="1" applyFill="1" applyBorder="1" applyAlignment="1">
      <alignment horizontal="left"/>
    </xf>
    <xf numFmtId="0" fontId="6" fillId="7" borderId="1" xfId="0" applyFont="1" applyFill="1" applyBorder="1" applyAlignment="1">
      <alignment horizontal="left"/>
    </xf>
    <xf numFmtId="0" fontId="6" fillId="7" borderId="1" xfId="0" applyFont="1" applyFill="1" applyBorder="1"/>
    <xf numFmtId="6" fontId="6" fillId="7" borderId="1" xfId="0" applyNumberFormat="1" applyFont="1" applyFill="1" applyBorder="1" applyAlignment="1">
      <alignment horizontal="right"/>
    </xf>
    <xf numFmtId="6" fontId="6" fillId="7" borderId="4" xfId="0" applyNumberFormat="1" applyFont="1" applyFill="1" applyBorder="1" applyAlignment="1">
      <alignment horizontal="right"/>
    </xf>
    <xf numFmtId="0" fontId="6" fillId="6" borderId="6" xfId="0" applyFont="1" applyFill="1" applyBorder="1" applyAlignment="1">
      <alignment horizontal="center"/>
    </xf>
    <xf numFmtId="14" fontId="6" fillId="6" borderId="1" xfId="0" applyNumberFormat="1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6" borderId="1" xfId="0" applyFont="1" applyFill="1" applyBorder="1"/>
    <xf numFmtId="6" fontId="6" fillId="6" borderId="1" xfId="0" applyNumberFormat="1" applyFont="1" applyFill="1" applyBorder="1" applyAlignment="1">
      <alignment horizontal="right"/>
    </xf>
    <xf numFmtId="6" fontId="6" fillId="6" borderId="4" xfId="0" applyNumberFormat="1" applyFont="1" applyFill="1" applyBorder="1" applyAlignment="1">
      <alignment horizontal="right"/>
    </xf>
    <xf numFmtId="6" fontId="10" fillId="11" borderId="5" xfId="0" applyNumberFormat="1" applyFont="1" applyFill="1" applyBorder="1" applyAlignment="1">
      <alignment horizontal="right"/>
    </xf>
    <xf numFmtId="14" fontId="0" fillId="10" borderId="1" xfId="0" applyNumberFormat="1" applyFill="1" applyBorder="1" applyAlignment="1">
      <alignment horizontal="left"/>
    </xf>
    <xf numFmtId="0" fontId="0" fillId="10" borderId="1" xfId="0" applyFill="1" applyBorder="1" applyAlignment="1">
      <alignment horizontal="left"/>
    </xf>
    <xf numFmtId="14" fontId="0" fillId="10" borderId="1" xfId="0" applyNumberFormat="1" applyFill="1" applyBorder="1"/>
    <xf numFmtId="6" fontId="0" fillId="10" borderId="1" xfId="0" applyNumberFormat="1" applyFill="1" applyBorder="1" applyAlignment="1">
      <alignment horizontal="right"/>
    </xf>
    <xf numFmtId="164" fontId="0" fillId="10" borderId="1" xfId="0" applyNumberFormat="1" applyFill="1" applyBorder="1" applyAlignment="1">
      <alignment horizontal="right"/>
    </xf>
    <xf numFmtId="6" fontId="0" fillId="10" borderId="4" xfId="0" applyNumberFormat="1" applyFill="1" applyBorder="1" applyAlignment="1">
      <alignment horizontal="right"/>
    </xf>
    <xf numFmtId="14" fontId="1" fillId="0" borderId="61" xfId="0" applyNumberFormat="1" applyFont="1" applyBorder="1" applyAlignment="1">
      <alignment horizontal="left" vertical="center"/>
    </xf>
    <xf numFmtId="14" fontId="1" fillId="0" borderId="62" xfId="0" applyNumberFormat="1" applyFont="1" applyBorder="1" applyAlignment="1">
      <alignment horizontal="left" vertical="center"/>
    </xf>
    <xf numFmtId="14" fontId="0" fillId="0" borderId="1" xfId="0" applyNumberFormat="1" applyBorder="1"/>
    <xf numFmtId="6" fontId="11" fillId="3" borderId="1" xfId="0" applyNumberFormat="1" applyFont="1" applyFill="1" applyBorder="1" applyAlignment="1">
      <alignment horizontal="right"/>
    </xf>
    <xf numFmtId="6" fontId="12" fillId="3" borderId="3" xfId="0" applyNumberFormat="1" applyFont="1" applyFill="1" applyBorder="1" applyAlignment="1">
      <alignment horizontal="right"/>
    </xf>
    <xf numFmtId="0" fontId="1" fillId="6" borderId="12" xfId="0" applyFont="1" applyFill="1" applyBorder="1" applyAlignment="1">
      <alignment horizontal="left" vertical="center"/>
    </xf>
    <xf numFmtId="0" fontId="1" fillId="6" borderId="6" xfId="0" applyFont="1" applyFill="1" applyBorder="1" applyAlignment="1">
      <alignment horizontal="left" vertical="center"/>
    </xf>
    <xf numFmtId="0" fontId="2" fillId="7" borderId="41" xfId="0" applyFont="1" applyFill="1" applyBorder="1" applyAlignment="1">
      <alignment horizontal="right" vertical="center"/>
    </xf>
    <xf numFmtId="0" fontId="1" fillId="7" borderId="8" xfId="0" applyFont="1" applyFill="1" applyBorder="1" applyAlignment="1">
      <alignment horizontal="right" vertical="center"/>
    </xf>
    <xf numFmtId="0" fontId="2" fillId="7" borderId="8" xfId="0" applyFont="1" applyFill="1" applyBorder="1" applyAlignment="1">
      <alignment horizontal="right" vertical="center"/>
    </xf>
    <xf numFmtId="0" fontId="1" fillId="7" borderId="9" xfId="0" applyFont="1" applyFill="1" applyBorder="1" applyAlignment="1">
      <alignment horizontal="right" vertical="center"/>
    </xf>
    <xf numFmtId="0" fontId="1" fillId="7" borderId="15" xfId="0" applyFont="1" applyFill="1" applyBorder="1" applyAlignment="1">
      <alignment horizontal="right" vertical="center"/>
    </xf>
    <xf numFmtId="0" fontId="1" fillId="7" borderId="50" xfId="0" applyFont="1" applyFill="1" applyBorder="1" applyAlignment="1">
      <alignment horizontal="right" vertical="center"/>
    </xf>
    <xf numFmtId="14" fontId="1" fillId="9" borderId="30" xfId="0" applyNumberFormat="1" applyFont="1" applyFill="1" applyBorder="1" applyAlignment="1">
      <alignment horizontal="right" vertical="center"/>
    </xf>
    <xf numFmtId="14" fontId="1" fillId="7" borderId="33" xfId="0" applyNumberFormat="1" applyFont="1" applyFill="1" applyBorder="1" applyAlignment="1">
      <alignment horizontal="right" vertical="center"/>
    </xf>
    <xf numFmtId="14" fontId="1" fillId="9" borderId="32" xfId="0" applyNumberFormat="1" applyFont="1" applyFill="1" applyBorder="1" applyAlignment="1">
      <alignment horizontal="right" vertical="center"/>
    </xf>
    <xf numFmtId="0" fontId="0" fillId="3" borderId="5" xfId="0" applyFill="1" applyBorder="1" applyAlignment="1">
      <alignment horizontal="left"/>
    </xf>
    <xf numFmtId="0" fontId="0" fillId="10" borderId="5" xfId="0" applyFill="1" applyBorder="1" applyAlignment="1">
      <alignment horizontal="left"/>
    </xf>
    <xf numFmtId="14" fontId="1" fillId="6" borderId="13" xfId="0" applyNumberFormat="1" applyFont="1" applyFill="1" applyBorder="1" applyAlignment="1">
      <alignment horizontal="right" vertical="center"/>
    </xf>
    <xf numFmtId="0" fontId="6" fillId="10" borderId="5" xfId="0" applyFont="1" applyFill="1" applyBorder="1" applyAlignment="1">
      <alignment horizontal="left"/>
    </xf>
    <xf numFmtId="0" fontId="6" fillId="10" borderId="1" xfId="0" applyFont="1" applyFill="1" applyBorder="1" applyAlignment="1">
      <alignment horizontal="left"/>
    </xf>
    <xf numFmtId="14" fontId="1" fillId="2" borderId="62" xfId="0" applyNumberFormat="1" applyFont="1" applyFill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5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0" formatCode="&quot;₹&quot;\ #,##0;[Red]&quot;₹&quot;\ \-#,##0"/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₹&quot;\ #,##0"/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0" formatCode="&quot;₹&quot;\ #,##0;[Red]&quot;₹&quot;\ \-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0" formatCode="&quot;₹&quot;\ #,##0;[Red]&quot;₹&quot;\ \-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0" formatCode="&quot;₹&quot;\ #,##0;[Red]&quot;₹&quot;\ \-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0" formatCode="&quot;₹&quot;\ #,##0;[Red]&quot;₹&quot;\ \-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0" formatCode="&quot;₹&quot;\ #,##0;[Red]&quot;₹&quot;\ \-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0" formatCode="&quot;₹&quot;\ #,##0;[Red]&quot;₹&quot;\ \-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0" formatCode="&quot;₹&quot;\ #,##0;[Red]&quot;₹&quot;\ \-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0" formatCode="&quot;₹&quot;\ #,##0;[Red]&quot;₹&quot;\ \-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0" formatCode="&quot;₹&quot;\ #,##0;[Red]&quot;₹&quot;\ \-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0" formatCode="&quot;₹&quot;\ #,##0;[Red]&quot;₹&quot;\ \-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0" formatCode="&quot;₹&quot;\ #,##0;[Red]&quot;₹&quot;\ \-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0" formatCode="&quot;₹&quot;\ #,##0;[Red]&quot;₹&quot;\ \-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/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0" formatCode="&quot;₹&quot;\ #,##0;[Red]&quot;₹&quot;\ \-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0" formatCode="&quot;₹&quot;\ #,##0;[Red]&quot;₹&quot;\ \-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0" formatCode="&quot;₹&quot;\ #,##0;[Red]&quot;₹&quot;\ \-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0" formatCode="&quot;₹&quot;\ #,##0;[Red]&quot;₹&quot;\ \-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0" formatCode="&quot;₹&quot;\ #,##0;[Red]&quot;₹&quot;\ \-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0" formatCode="&quot;₹&quot;\ #,##0;[Red]&quot;₹&quot;\ \-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0" formatCode="&quot;₹&quot;\ #,##0;[Red]&quot;₹&quot;\ \-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0" formatCode="&quot;₹&quot;\ #,##0;[Red]&quot;₹&quot;\ \-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0" formatCode="&quot;₹&quot;\ #,##0;[Red]&quot;₹&quot;\ \-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0" formatCode="&quot;₹&quot;\ #,##0;[Red]&quot;₹&quot;\ \-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0" formatCode="&quot;₹&quot;\ #,##0;[Red]&quot;₹&quot;\ \-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0" formatCode="&quot;₹&quot;\ #,##0;[Red]&quot;₹&quot;\ \-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0" formatCode="&quot;₹&quot;\ #,##0;[Red]&quot;₹&quot;\ \-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INSURANCE%20AND%20ROAD%20TAX/INSURANCE%20QUOTES/Fleet%20Insurance%20Proposal%20List.xlsx" TargetMode="External"/><Relationship Id="rId2" Type="http://schemas.openxmlformats.org/officeDocument/2006/relationships/externalLinkPath" Target="file:///X:\PnP-Officer-12092025\INSURANCE%20AND%20ROAD%20TAX\INSURANCE%20QUOTES\Fleet%20Insurance%20Proposal%20List.xlsx" TargetMode="External"/><Relationship Id="rId1" Type="http://schemas.openxmlformats.org/officeDocument/2006/relationships/externalLinkPath" Target="/PnP-Officer-12092025/INSURANCE%20AND%20ROAD%20TAX/INSURANCE%20QUOTES/Fleet%20Insurance%20Proposal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 refreshError="1">
        <row r="2">
          <cell r="B2" t="str">
            <v>GJ-18-BW-1144</v>
          </cell>
          <cell r="C2">
            <v>45649</v>
          </cell>
          <cell r="D2" t="str">
            <v>TIPPER</v>
          </cell>
          <cell r="E2" t="str">
            <v>20 FT</v>
          </cell>
          <cell r="F2" t="str">
            <v>SR CONTAINER CARRIERS</v>
          </cell>
          <cell r="G2">
            <v>45545</v>
          </cell>
          <cell r="H2">
            <v>45909</v>
          </cell>
        </row>
        <row r="3">
          <cell r="B3" t="str">
            <v>GJ-18-BV-5224</v>
          </cell>
          <cell r="C3">
            <v>45182</v>
          </cell>
          <cell r="D3" t="str">
            <v>TIPPER</v>
          </cell>
          <cell r="E3" t="str">
            <v>20 FT</v>
          </cell>
          <cell r="F3" t="str">
            <v>SR CONTAINER CARRIERS</v>
          </cell>
          <cell r="G3">
            <v>45512</v>
          </cell>
          <cell r="H3">
            <v>45876</v>
          </cell>
        </row>
        <row r="4">
          <cell r="B4" t="str">
            <v>GJ-18-BV-5428</v>
          </cell>
          <cell r="C4">
            <v>45182</v>
          </cell>
          <cell r="D4" t="str">
            <v>TIPPER</v>
          </cell>
          <cell r="E4" t="str">
            <v>20 FT</v>
          </cell>
          <cell r="F4" t="str">
            <v>SR CONTAINER CARRIERS</v>
          </cell>
          <cell r="G4">
            <v>45877</v>
          </cell>
          <cell r="H4">
            <v>46241</v>
          </cell>
        </row>
        <row r="5">
          <cell r="B5" t="str">
            <v>GJ-16-AU-5412</v>
          </cell>
          <cell r="C5">
            <v>43264</v>
          </cell>
          <cell r="D5"/>
          <cell r="E5"/>
          <cell r="F5"/>
          <cell r="G5">
            <v>45682</v>
          </cell>
          <cell r="H5">
            <v>46046</v>
          </cell>
        </row>
        <row r="6">
          <cell r="B6" t="str">
            <v>GJ-18-AZ-5588</v>
          </cell>
          <cell r="C6">
            <v>43157</v>
          </cell>
          <cell r="D6" t="str">
            <v>TIPPER CNG</v>
          </cell>
          <cell r="E6" t="str">
            <v>20 FT</v>
          </cell>
          <cell r="F6" t="str">
            <v>SR CONTAINER CARRIERS</v>
          </cell>
          <cell r="G6">
            <v>45695</v>
          </cell>
          <cell r="H6">
            <v>46059</v>
          </cell>
        </row>
        <row r="7">
          <cell r="B7" t="str">
            <v>GJ-18-AZ-4495</v>
          </cell>
          <cell r="C7">
            <v>42921</v>
          </cell>
          <cell r="D7" t="str">
            <v>BOLERO</v>
          </cell>
          <cell r="E7"/>
          <cell r="F7" t="str">
            <v>SR CONTAINER CARRIERS</v>
          </cell>
          <cell r="G7">
            <v>45848</v>
          </cell>
          <cell r="H7">
            <v>46212</v>
          </cell>
        </row>
        <row r="8">
          <cell r="B8" t="str">
            <v>GJ-18-BV-8816</v>
          </cell>
          <cell r="C8">
            <v>42646</v>
          </cell>
          <cell r="D8" t="str">
            <v>TIPPER</v>
          </cell>
          <cell r="E8" t="str">
            <v>40 FT</v>
          </cell>
          <cell r="F8" t="str">
            <v>SR CONTAINER CARRIERS</v>
          </cell>
          <cell r="G8">
            <v>45794</v>
          </cell>
          <cell r="H8">
            <v>46158</v>
          </cell>
        </row>
        <row r="9">
          <cell r="B9" t="str">
            <v>GJ-08-AW-8599</v>
          </cell>
          <cell r="C9">
            <v>42584</v>
          </cell>
          <cell r="D9" t="str">
            <v>TRAILER</v>
          </cell>
          <cell r="E9" t="str">
            <v>40 FT</v>
          </cell>
          <cell r="F9" t="str">
            <v>SR CONTAINER CARRIERS</v>
          </cell>
          <cell r="G9">
            <v>45492</v>
          </cell>
          <cell r="H9">
            <v>45856</v>
          </cell>
        </row>
        <row r="10">
          <cell r="B10" t="str">
            <v>GJ-12-BT-7142</v>
          </cell>
          <cell r="C10">
            <v>42527</v>
          </cell>
          <cell r="D10"/>
          <cell r="E10"/>
          <cell r="F10" t="str">
            <v>SR CONTAINER CARRIERS</v>
          </cell>
          <cell r="G10">
            <v>45772</v>
          </cell>
          <cell r="H10">
            <v>46136</v>
          </cell>
        </row>
        <row r="11">
          <cell r="B11" t="str">
            <v>GJ-18-AZ-0849</v>
          </cell>
          <cell r="C11">
            <v>42500</v>
          </cell>
          <cell r="D11" t="str">
            <v>TIPPER</v>
          </cell>
          <cell r="E11" t="str">
            <v>20 FT</v>
          </cell>
          <cell r="F11" t="str">
            <v>Suraj A Rajan (Proprietor)</v>
          </cell>
          <cell r="G11">
            <v>45741</v>
          </cell>
          <cell r="H11">
            <v>46105</v>
          </cell>
        </row>
        <row r="12">
          <cell r="B12" t="str">
            <v>GJ-18-AX-6955</v>
          </cell>
          <cell r="C12">
            <v>42185</v>
          </cell>
          <cell r="D12" t="str">
            <v>TIPPER</v>
          </cell>
          <cell r="E12" t="str">
            <v>20 FT</v>
          </cell>
          <cell r="F12" t="str">
            <v>Suraj A Rajan (Proprietor)</v>
          </cell>
          <cell r="G12">
            <v>45817</v>
          </cell>
          <cell r="H12">
            <v>46181</v>
          </cell>
        </row>
        <row r="13">
          <cell r="B13" t="str">
            <v>GJ-18-AZ-4229</v>
          </cell>
          <cell r="C13">
            <v>41446</v>
          </cell>
          <cell r="D13" t="str">
            <v>TRAILER</v>
          </cell>
          <cell r="E13" t="str">
            <v>40 FT</v>
          </cell>
          <cell r="F13" t="str">
            <v>Suraj A Rajan (Proprietor)</v>
          </cell>
          <cell r="G13">
            <v>45745</v>
          </cell>
          <cell r="H13">
            <v>46109</v>
          </cell>
        </row>
        <row r="14">
          <cell r="B14" t="str">
            <v>GJ-18-AV-7468</v>
          </cell>
          <cell r="C14">
            <v>41443</v>
          </cell>
          <cell r="D14" t="str">
            <v>TIPPER</v>
          </cell>
          <cell r="E14" t="str">
            <v>40 FT</v>
          </cell>
          <cell r="F14" t="str">
            <v>Suraj A Rajan (Proprietor)</v>
          </cell>
          <cell r="G14">
            <v>45810</v>
          </cell>
          <cell r="H14">
            <v>46174</v>
          </cell>
        </row>
        <row r="15">
          <cell r="B15" t="str">
            <v>GJ-18-BV-6050</v>
          </cell>
          <cell r="C15">
            <v>41166</v>
          </cell>
          <cell r="D15" t="str">
            <v>TRAILER</v>
          </cell>
          <cell r="E15" t="str">
            <v>20 FT</v>
          </cell>
          <cell r="F15" t="str">
            <v>SR CONTAINER CARRIERS</v>
          </cell>
          <cell r="G15">
            <v>45583</v>
          </cell>
          <cell r="H15">
            <v>45947</v>
          </cell>
        </row>
        <row r="16">
          <cell r="B16" t="str">
            <v>GJ-18-BV-9156</v>
          </cell>
          <cell r="C16">
            <v>41156</v>
          </cell>
          <cell r="D16" t="str">
            <v>TIPPER</v>
          </cell>
          <cell r="E16" t="str">
            <v>20 FT</v>
          </cell>
          <cell r="F16" t="str">
            <v>SR CONTAINER CARRIERS</v>
          </cell>
          <cell r="G16">
            <v>45776</v>
          </cell>
          <cell r="H16">
            <v>46140</v>
          </cell>
        </row>
        <row r="17">
          <cell r="B17" t="str">
            <v>GJ-18-BT-5220</v>
          </cell>
          <cell r="C17">
            <v>40988</v>
          </cell>
          <cell r="D17" t="str">
            <v>TIPPER</v>
          </cell>
          <cell r="E17" t="str">
            <v>20 FT</v>
          </cell>
          <cell r="F17" t="str">
            <v>Suraj A Rajan (Proprietor)</v>
          </cell>
          <cell r="G17">
            <v>45642</v>
          </cell>
          <cell r="H17">
            <v>46006</v>
          </cell>
        </row>
        <row r="18">
          <cell r="B18" t="str">
            <v>GJ-09-Z-4266</v>
          </cell>
          <cell r="C18">
            <v>40966</v>
          </cell>
          <cell r="D18" t="str">
            <v>12 WHEEL</v>
          </cell>
          <cell r="E18" t="str">
            <v>20 FT</v>
          </cell>
          <cell r="F18" t="str">
            <v>SR CONTAINER CARRIERS</v>
          </cell>
          <cell r="G18">
            <v>45763</v>
          </cell>
          <cell r="H18">
            <v>46127</v>
          </cell>
        </row>
        <row r="19">
          <cell r="B19" t="str">
            <v>GJ-01-CX-2097</v>
          </cell>
          <cell r="C19">
            <v>40821</v>
          </cell>
          <cell r="D19" t="str">
            <v>TRAILER</v>
          </cell>
          <cell r="E19" t="str">
            <v>40 FT</v>
          </cell>
          <cell r="F19" t="str">
            <v>SR CONTAINER CARRIERS</v>
          </cell>
          <cell r="G19">
            <v>45562</v>
          </cell>
          <cell r="H19">
            <v>45926</v>
          </cell>
        </row>
        <row r="20">
          <cell r="B20" t="str">
            <v>GJ-18-AU-8480</v>
          </cell>
          <cell r="C20">
            <v>40819</v>
          </cell>
          <cell r="D20" t="str">
            <v>12 WHEEL</v>
          </cell>
          <cell r="E20" t="str">
            <v>20 FT</v>
          </cell>
          <cell r="F20" t="str">
            <v>SR CONTAINER CARRIERS</v>
          </cell>
          <cell r="G20">
            <v>45668</v>
          </cell>
          <cell r="H20">
            <v>46032</v>
          </cell>
        </row>
        <row r="21">
          <cell r="B21" t="str">
            <v>GJ-01-CV-4935</v>
          </cell>
          <cell r="C21">
            <v>40718</v>
          </cell>
          <cell r="D21" t="str">
            <v>TAURUS</v>
          </cell>
          <cell r="E21" t="str">
            <v>20 FT</v>
          </cell>
          <cell r="F21" t="str">
            <v>SR CONTAINER CARRIERS</v>
          </cell>
          <cell r="G21">
            <v>45503</v>
          </cell>
          <cell r="H21">
            <v>45867</v>
          </cell>
        </row>
        <row r="22">
          <cell r="B22" t="str">
            <v>GJ-18-AZ-5394</v>
          </cell>
          <cell r="C22">
            <v>40376</v>
          </cell>
          <cell r="D22" t="str">
            <v>TRAILER</v>
          </cell>
          <cell r="E22" t="str">
            <v>20 FT</v>
          </cell>
          <cell r="F22" t="str">
            <v>Suraj A Rajan (Proprietor)</v>
          </cell>
          <cell r="G22">
            <v>45660</v>
          </cell>
          <cell r="H22">
            <v>46024</v>
          </cell>
        </row>
        <row r="23">
          <cell r="B23" t="str">
            <v>GJ-20-U-7188</v>
          </cell>
          <cell r="C23">
            <v>40312</v>
          </cell>
          <cell r="D23" t="str">
            <v>TAURUS</v>
          </cell>
          <cell r="E23" t="str">
            <v>20 FT</v>
          </cell>
          <cell r="F23" t="str">
            <v>Suraj A Rajan (Proprietor)</v>
          </cell>
          <cell r="G23">
            <v>45585</v>
          </cell>
          <cell r="H23">
            <v>45949</v>
          </cell>
        </row>
        <row r="24">
          <cell r="B24" t="str">
            <v>GJ-12-Z-3234</v>
          </cell>
          <cell r="C24">
            <v>39784</v>
          </cell>
          <cell r="D24" t="str">
            <v>TRAILER</v>
          </cell>
          <cell r="E24" t="str">
            <v>20 FT</v>
          </cell>
          <cell r="F24" t="str">
            <v>SR CONTAINER CARRIERS</v>
          </cell>
          <cell r="G24">
            <v>45648</v>
          </cell>
          <cell r="H24">
            <v>46012</v>
          </cell>
        </row>
        <row r="25">
          <cell r="B25" t="str">
            <v>GJ-12-Z-2989</v>
          </cell>
          <cell r="C25">
            <v>39716</v>
          </cell>
          <cell r="D25" t="str">
            <v>TRAILER</v>
          </cell>
          <cell r="E25" t="str">
            <v>20 FT</v>
          </cell>
          <cell r="F25" t="str">
            <v>SR CONTAINER CARRIERS</v>
          </cell>
          <cell r="G25">
            <v>45712</v>
          </cell>
          <cell r="H25">
            <v>46076</v>
          </cell>
        </row>
        <row r="26">
          <cell r="B26" t="str">
            <v>GJ-18-AX-0063</v>
          </cell>
          <cell r="C26">
            <v>39714</v>
          </cell>
          <cell r="D26" t="str">
            <v>TIPPER</v>
          </cell>
          <cell r="E26" t="str">
            <v>20 FT</v>
          </cell>
          <cell r="F26" t="str">
            <v>Suraj A Rajan (Proprietor)</v>
          </cell>
          <cell r="G26">
            <v>45648</v>
          </cell>
          <cell r="H26">
            <v>46012</v>
          </cell>
        </row>
        <row r="27">
          <cell r="B27" t="str">
            <v>GJ-18-AX-6284</v>
          </cell>
          <cell r="C27">
            <v>39638</v>
          </cell>
          <cell r="D27" t="str">
            <v>TRAILER</v>
          </cell>
          <cell r="E27" t="str">
            <v>40 FT</v>
          </cell>
          <cell r="F27" t="str">
            <v>Suraj A Rajan (Proprietor)</v>
          </cell>
          <cell r="G27">
            <v>45496</v>
          </cell>
          <cell r="H27">
            <v>45860</v>
          </cell>
        </row>
        <row r="28">
          <cell r="B28" t="str">
            <v>GJ-12-Z-1317</v>
          </cell>
          <cell r="C28">
            <v>39444</v>
          </cell>
          <cell r="D28" t="str">
            <v>TRAILER</v>
          </cell>
          <cell r="E28" t="str">
            <v>20 FT</v>
          </cell>
          <cell r="F28" t="str">
            <v>Suraj A Rajan (Proprietor)</v>
          </cell>
          <cell r="G28">
            <v>45693</v>
          </cell>
          <cell r="H28">
            <v>46057</v>
          </cell>
        </row>
        <row r="29">
          <cell r="B29" t="str">
            <v>GJ-12-Z-1089</v>
          </cell>
          <cell r="C29">
            <v>39413</v>
          </cell>
          <cell r="D29" t="str">
            <v>TRAILER</v>
          </cell>
          <cell r="E29" t="str">
            <v>20 FT</v>
          </cell>
          <cell r="F29" t="str">
            <v>SR CONTAINER CARRIERS</v>
          </cell>
          <cell r="G29">
            <v>45742</v>
          </cell>
          <cell r="H29">
            <v>46106</v>
          </cell>
        </row>
        <row r="30">
          <cell r="B30" t="str">
            <v>GJ-12-Z-1090</v>
          </cell>
          <cell r="C30">
            <v>39413</v>
          </cell>
          <cell r="D30" t="str">
            <v>TRAILER</v>
          </cell>
          <cell r="E30" t="str">
            <v>40 FT</v>
          </cell>
          <cell r="F30" t="str">
            <v>SR CONTAINER CARRIERS</v>
          </cell>
          <cell r="G30">
            <v>45747</v>
          </cell>
          <cell r="H30">
            <v>46111</v>
          </cell>
        </row>
        <row r="31">
          <cell r="B31" t="str">
            <v>GJ-18-AV-8971</v>
          </cell>
          <cell r="C31">
            <v>38874</v>
          </cell>
          <cell r="D31" t="str">
            <v>TRAILER</v>
          </cell>
          <cell r="E31" t="str">
            <v>40 FT</v>
          </cell>
          <cell r="F31" t="str">
            <v>Suraj A Rajan (Proprietor)</v>
          </cell>
          <cell r="G31">
            <v>45629</v>
          </cell>
          <cell r="H31">
            <v>45993</v>
          </cell>
        </row>
        <row r="32">
          <cell r="B32" t="str">
            <v>GJ-01-AU-4504</v>
          </cell>
          <cell r="C32">
            <v>38651</v>
          </cell>
          <cell r="D32" t="str">
            <v>TRAILER</v>
          </cell>
          <cell r="E32" t="str">
            <v>20 FT</v>
          </cell>
          <cell r="F32" t="str">
            <v>SR CONTAINER CARRIERS</v>
          </cell>
          <cell r="G32">
            <v>45621</v>
          </cell>
          <cell r="H32">
            <v>45985</v>
          </cell>
        </row>
        <row r="33">
          <cell r="B33" t="str">
            <v>GJ-18-AV-4735</v>
          </cell>
          <cell r="C33">
            <v>38390</v>
          </cell>
          <cell r="D33" t="str">
            <v>TAURUS</v>
          </cell>
          <cell r="E33" t="str">
            <v>20 FT</v>
          </cell>
          <cell r="F33" t="str">
            <v>Suraj A Rajan (Proprietor)</v>
          </cell>
          <cell r="G33">
            <v>45389</v>
          </cell>
          <cell r="H33">
            <v>45753</v>
          </cell>
        </row>
        <row r="34">
          <cell r="B34" t="str">
            <v>GJ-18-AV-4737</v>
          </cell>
          <cell r="C34">
            <v>38390</v>
          </cell>
          <cell r="D34" t="str">
            <v>TAURUS</v>
          </cell>
          <cell r="E34" t="str">
            <v>20 FT</v>
          </cell>
          <cell r="F34" t="str">
            <v>Suraj A Rajan (Proprietor)</v>
          </cell>
          <cell r="G34">
            <v>45687</v>
          </cell>
          <cell r="H34">
            <v>46051</v>
          </cell>
        </row>
        <row r="35">
          <cell r="B35" t="str">
            <v>GJ-15-X-8939</v>
          </cell>
          <cell r="C35">
            <v>38251</v>
          </cell>
          <cell r="D35" t="str">
            <v>TAURUS</v>
          </cell>
          <cell r="E35" t="str">
            <v>20 FT</v>
          </cell>
          <cell r="F35" t="str">
            <v>Suraj A Rajan (Proprietor)</v>
          </cell>
          <cell r="G35">
            <v>45557</v>
          </cell>
          <cell r="H35">
            <v>45921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C40CB8-7781-442E-908D-71AFC3E32175}" name="Table1" displayName="Table1" ref="A1:AC48" totalsRowShown="0" headerRowDxfId="49" dataDxfId="47" headerRowBorderDxfId="48" tableBorderDxfId="46" totalsRowBorderDxfId="45">
  <autoFilter ref="A1:AC48" xr:uid="{52C40CB8-7781-442E-908D-71AFC3E32175}"/>
  <tableColumns count="29">
    <tableColumn id="1" xr3:uid="{6ADC4BA6-B686-4779-BF95-A57443C877D8}" name="Sr No" dataDxfId="44"/>
    <tableColumn id="2" xr3:uid="{735497E9-6540-4CA8-A8D2-808841D5EB90}" name="Renewal Date" dataDxfId="43"/>
    <tableColumn id="3" xr3:uid="{2945F08E-CC46-4EE3-A187-19E6DAC9D11A}" name="REGISTRATION NUMBER" dataDxfId="42"/>
    <tableColumn id="4" xr3:uid="{4A683FD0-57C4-48A7-B00F-A0C7A5745419}" name="Policy No." dataDxfId="41"/>
    <tableColumn id="17" xr3:uid="{25085F93-1223-4D7D-B907-D0DE612EF3E2}" name="Period of Insurance(From)" dataDxfId="40"/>
    <tableColumn id="5" xr3:uid="{35874265-4C41-4CA9-B40E-8A0523522233}" name="Period of Insurance(To)" dataDxfId="39"/>
    <tableColumn id="7" xr3:uid="{AA4295E6-170D-487D-81AE-62070363F2A1}" name="ENGINE NUMBER" dataDxfId="38"/>
    <tableColumn id="8" xr3:uid="{F0946E20-4A08-4C6F-97B1-178C7159DF87}" name="CHASSIS NUMBER" dataDxfId="37"/>
    <tableColumn id="9" xr3:uid="{5A43C123-DCA1-44CD-8CB4-E92AD8C757C7}" name="MAKE/MODEL" dataDxfId="36"/>
    <tableColumn id="10" xr3:uid="{76E8DCBF-1162-4F36-985E-06FCC274B124}" name="CUBIC CAPACITY/KW/GVW" dataDxfId="35"/>
    <tableColumn id="11" xr3:uid="{11AADD45-0B8B-4DE9-93CF-FD34756B92C3}" name="MFG. YEAR / REGISTRATION DATE" dataDxfId="34"/>
    <tableColumn id="12" xr3:uid="{E8D6C6AC-3547-4ABE-9F6B-FD141EF1A1DD}" name="VEHICLE IDV" dataDxfId="33"/>
    <tableColumn id="6" xr3:uid="{E00AF828-A2E7-4549-BA08-1138DFE16A7B}" name="ELECTRICAL ACCESSORIES IDV" dataDxfId="32"/>
    <tableColumn id="23" xr3:uid="{7B89A29D-A435-445E-9018-21716EDE6EE6}" name="CNG KIT IDV"/>
    <tableColumn id="18" xr3:uid="{F52F1408-D309-4EA5-B37D-4DF311596394}" name="TOTAL IDV (VALUE)" dataDxfId="31">
      <calculatedColumnFormula>Table1[[#This Row],[VEHICLE IDV]]+Table1[[#This Row],[ELECTRICAL ACCESSORIES IDV]]</calculatedColumnFormula>
    </tableColumn>
    <tableColumn id="13" xr3:uid="{E459CE4F-8DA1-4D60-AA62-CF73F3912B2B}" name="OD PREMIUM" dataDxfId="30"/>
    <tableColumn id="20" xr3:uid="{27B0744F-F18E-4F24-901D-89FD1621E9C9}" name="IMT23" dataDxfId="29"/>
    <tableColumn id="19" xr3:uid="{A8194A4E-7AD7-45A4-BC31-A75DDC9AE7FA}" name="IMT24" dataDxfId="28"/>
    <tableColumn id="30" xr3:uid="{525F4AE7-9779-40A2-9606-EF4BB0F9E1C2}" name="IMT25" dataDxfId="27"/>
    <tableColumn id="22" xr3:uid="{0152C6A2-56C9-410E-A9C2-1D8796976FC4}" name="No Claim Bonus" dataDxfId="26"/>
    <tableColumn id="26" xr3:uid="{1F0D983A-69A4-4F77-A417-CAFFAAFF1794}" name="TOTAL OD PREMIUM" dataDxfId="25">
      <calculatedColumnFormula>SUM(Table1[[#This Row],[OD PREMIUM]:[No Claim Bonus]])</calculatedColumnFormula>
    </tableColumn>
    <tableColumn id="29" xr3:uid="{A5B6CCC4-7B8D-45B4-8F80-568BD6012288}" name="IMT17" dataDxfId="24"/>
    <tableColumn id="24" xr3:uid="{52F7E5C3-471E-463F-B8F5-B185AE69DECE}" name="IMT252"/>
    <tableColumn id="28" xr3:uid="{DC9C9CEB-F3F7-461E-AB82-4DA576D734D4}" name="IMT28" dataDxfId="23"/>
    <tableColumn id="21" xr3:uid="{C7E00AEC-DC66-4F9F-97D5-31BF0DC8DAD8}" name="IMT29"/>
    <tableColumn id="14" xr3:uid="{8BC3750E-E4F5-4008-A07D-7504C2963CFA}" name="LIABILITY PREMIUM" dataDxfId="22"/>
    <tableColumn id="15" xr3:uid="{60EBB0BE-F322-4A98-89B8-D370B270C178}" name="TOTAL GST" dataDxfId="21"/>
    <tableColumn id="16" xr3:uid="{23EB5152-507F-4B93-9970-18A1DF52B844}" name="TOTAL POLICY PREMIUM" dataDxfId="20"/>
    <tableColumn id="25" xr3:uid="{BBD97A30-13D8-4A90-9B34-8C462215F542}" name="REMARKS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244501-B3FE-4999-9AC4-D816040E1B49}" name="Table3" displayName="Table3" ref="A1:P41" totalsRowShown="0" headerRowDxfId="18" dataDxfId="17" tableBorderDxfId="16">
  <autoFilter ref="A1:P41" xr:uid="{BB244501-B3FE-4999-9AC4-D816040E1B49}"/>
  <tableColumns count="16">
    <tableColumn id="1" xr3:uid="{9EB91EAF-D912-4D7D-A640-4608A6611BE8}" name="Sr No" dataDxfId="15"/>
    <tableColumn id="2" xr3:uid="{B2679CCB-485A-4DA4-82FA-8D820D606929}" name="REGISTRATION NUMBER" dataDxfId="14"/>
    <tableColumn id="3" xr3:uid="{60B4C84C-12E5-42E6-B02F-E70F6338019B}" name="VEHICLE IDV" dataDxfId="13"/>
    <tableColumn id="4" xr3:uid="{CC82A91C-C223-480E-BDAE-F0BB81518C7C}" name="ELECTRICAL ACCESSORIES / CNG/LPG IDV" dataDxfId="12"/>
    <tableColumn id="5" xr3:uid="{6DD379AD-E77F-4AC6-B234-5373B2158C66}" name="TOTAL IDV (VALUE)" dataDxfId="11">
      <calculatedColumnFormula>'Data-OLD'!$C2+'Data-OLD'!$D2</calculatedColumnFormula>
    </tableColumn>
    <tableColumn id="6" xr3:uid="{6FA78712-9FD4-4F46-993C-500E81DE19D8}" name="OD PREMIUM" dataDxfId="10"/>
    <tableColumn id="7" xr3:uid="{9FED55EF-F5C9-49D4-98E8-1D5ABED7F5D0}" name="IMT23" dataDxfId="9"/>
    <tableColumn id="8" xr3:uid="{E67131CB-0FDC-44E1-970A-4FC1CCC39826}" name="IMT24" dataDxfId="8"/>
    <tableColumn id="9" xr3:uid="{F667F562-DA68-4365-A900-2989EC081B84}" name="IMT25" dataDxfId="7"/>
    <tableColumn id="10" xr3:uid="{947292A0-F239-4A79-89C2-0F8A6258548F}" name="No Claim Bonus" dataDxfId="6"/>
    <tableColumn id="11" xr3:uid="{FAF4381B-B8B1-4CFB-8DB6-4A6C7FD00A97}" name="TOTAL OD PREMIUM" dataDxfId="5">
      <calculatedColumnFormula>SUM('Data-OLD'!$F2:$J2)</calculatedColumnFormula>
    </tableColumn>
    <tableColumn id="12" xr3:uid="{6B822AFE-00F0-4F76-94C9-6E840F460E2D}" name="IMT17" dataDxfId="4"/>
    <tableColumn id="13" xr3:uid="{E9E26993-D98E-4AC4-AF3B-B822DA13ED2C}" name="IMT28" dataDxfId="3"/>
    <tableColumn id="14" xr3:uid="{F04D47D4-588E-4404-ABB0-9FF1BD19FDB6}" name="LIABILITY PREMIUM" dataDxfId="2"/>
    <tableColumn id="15" xr3:uid="{486A8542-15CC-4254-8993-762353DA20B2}" name="TOTAL GST" dataDxfId="1">
      <calculatedColumnFormula>SUM('Data-OLD'!$K2+'Data-OLD'!$L2+'Data-OLD'!$M2)*18%+'Data-OLD'!$N2*12%</calculatedColumnFormula>
    </tableColumn>
    <tableColumn id="16" xr3:uid="{9BCAA137-214B-42EA-A10D-B8D2855F7FF5}" name="TOTAL POLICY PREMIUM" dataDxfId="0">
      <calculatedColumnFormula>'Data-OLD'!$K2+'Data-OLD'!$L2+'Data-OLD'!$M2+'Data-OLD'!$N2+'Data-OLD'!$O2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F45"/>
  <sheetViews>
    <sheetView zoomScale="90" zoomScaleNormal="90" workbookViewId="0">
      <pane xSplit="2" ySplit="1" topLeftCell="G12" activePane="bottomRight" state="frozen"/>
      <selection pane="topRight" activeCell="C1" sqref="C1"/>
      <selection pane="bottomLeft" activeCell="A2" sqref="A2"/>
      <selection pane="bottomRight" activeCell="G14" sqref="G14"/>
    </sheetView>
  </sheetViews>
  <sheetFormatPr defaultRowHeight="15" x14ac:dyDescent="0.25"/>
  <cols>
    <col min="1" max="1" width="6.85546875" style="5" bestFit="1" customWidth="1"/>
    <col min="2" max="2" width="15.42578125" style="2" bestFit="1" customWidth="1"/>
    <col min="3" max="3" width="1.85546875" style="2" hidden="1" customWidth="1"/>
    <col min="4" max="4" width="5.85546875" style="2" hidden="1" customWidth="1"/>
    <col min="5" max="6" width="11.28515625" style="2" hidden="1" customWidth="1"/>
    <col min="7" max="7" width="11.28515625" style="2" bestFit="1" customWidth="1"/>
    <col min="8" max="8" width="7" style="2" bestFit="1" customWidth="1"/>
    <col min="9" max="9" width="24.140625" style="2" bestFit="1" customWidth="1"/>
    <col min="10" max="11" width="11.28515625" style="2" bestFit="1" customWidth="1"/>
    <col min="12" max="12" width="25.42578125" style="2" customWidth="1"/>
    <col min="13" max="13" width="22.5703125" style="2" customWidth="1"/>
    <col min="14" max="14" width="8.140625" style="7" bestFit="1" customWidth="1"/>
    <col min="15" max="15" width="15.28515625" style="7" bestFit="1" customWidth="1"/>
    <col min="16" max="16" width="17" style="7" bestFit="1" customWidth="1"/>
    <col min="17" max="17" width="11.140625" style="2" bestFit="1" customWidth="1"/>
    <col min="18" max="18" width="7.28515625" style="2" bestFit="1" customWidth="1"/>
    <col min="19" max="19" width="12.28515625" style="2" bestFit="1" customWidth="1"/>
    <col min="20" max="20" width="3.5703125" style="2" bestFit="1" customWidth="1"/>
    <col min="21" max="21" width="10" style="2" bestFit="1" customWidth="1"/>
    <col min="22" max="22" width="15.85546875" style="2" bestFit="1" customWidth="1"/>
    <col min="23" max="23" width="15.28515625" style="7" bestFit="1" customWidth="1"/>
    <col min="24" max="24" width="8.85546875" style="2" bestFit="1" customWidth="1"/>
    <col min="25" max="25" width="13.140625" style="2" bestFit="1" customWidth="1"/>
    <col min="26" max="26" width="9.5703125" style="2" bestFit="1" customWidth="1"/>
    <col min="27" max="27" width="13.7109375" style="2" customWidth="1"/>
    <col min="28" max="28" width="19.140625" style="33" bestFit="1" customWidth="1"/>
    <col min="29" max="29" width="12.42578125" style="7" bestFit="1" customWidth="1"/>
    <col min="30" max="30" width="17.140625" style="7" bestFit="1" customWidth="1"/>
    <col min="31" max="31" width="14.85546875" style="7" bestFit="1" customWidth="1"/>
    <col min="32" max="16384" width="9.140625" style="2"/>
  </cols>
  <sheetData>
    <row r="1" spans="1:31" s="3" customFormat="1" ht="15.75" thickBot="1" x14ac:dyDescent="0.3">
      <c r="A1" s="98" t="s">
        <v>0</v>
      </c>
      <c r="B1" s="170" t="s">
        <v>1</v>
      </c>
      <c r="C1" s="118" t="s">
        <v>2</v>
      </c>
      <c r="D1" s="62" t="s">
        <v>132</v>
      </c>
      <c r="E1" s="194" t="s">
        <v>7</v>
      </c>
      <c r="F1" s="195" t="s">
        <v>8</v>
      </c>
      <c r="G1" s="46" t="s">
        <v>3</v>
      </c>
      <c r="H1" s="44" t="s">
        <v>4</v>
      </c>
      <c r="I1" s="47" t="s">
        <v>5</v>
      </c>
      <c r="J1" s="194" t="s">
        <v>7</v>
      </c>
      <c r="K1" s="195" t="s">
        <v>8</v>
      </c>
      <c r="L1" s="223" t="s">
        <v>22</v>
      </c>
      <c r="M1" s="239" t="s">
        <v>23</v>
      </c>
      <c r="N1" s="258" t="s">
        <v>67</v>
      </c>
      <c r="O1" s="245" t="s">
        <v>6</v>
      </c>
      <c r="P1" s="45" t="s">
        <v>64</v>
      </c>
      <c r="Q1" s="46" t="s">
        <v>9</v>
      </c>
      <c r="R1" s="44" t="s">
        <v>68</v>
      </c>
      <c r="S1" s="44" t="s">
        <v>71</v>
      </c>
      <c r="T1" s="44"/>
      <c r="U1" s="47"/>
      <c r="V1" s="62" t="s">
        <v>69</v>
      </c>
      <c r="W1" s="48" t="s">
        <v>77</v>
      </c>
      <c r="X1" s="46" t="s">
        <v>68</v>
      </c>
      <c r="Y1" s="44" t="s">
        <v>74</v>
      </c>
      <c r="Z1" s="44" t="s">
        <v>70</v>
      </c>
      <c r="AA1" s="47" t="s">
        <v>72</v>
      </c>
      <c r="AB1" s="49" t="s">
        <v>114</v>
      </c>
      <c r="AC1" s="48" t="s">
        <v>76</v>
      </c>
      <c r="AD1" s="50" t="s">
        <v>78</v>
      </c>
      <c r="AE1" s="51" t="s">
        <v>113</v>
      </c>
    </row>
    <row r="2" spans="1:31" hidden="1" x14ac:dyDescent="0.25">
      <c r="A2" s="99">
        <v>1</v>
      </c>
      <c r="B2" s="171" t="s">
        <v>80</v>
      </c>
      <c r="C2" s="182">
        <v>45649</v>
      </c>
      <c r="D2" s="261"/>
      <c r="E2" s="196" cm="1">
        <f t="array" ref="E2:E35">VLOOKUP($B$2:$B$35,[1]Sheet1!B$2:H$35,6,0)</f>
        <v>45545</v>
      </c>
      <c r="F2" s="197" cm="1">
        <f t="array" ref="F2:F35">VLOOKUP($B$2:$B$35,[1]Sheet1!B$2:H$35,7,0)</f>
        <v>45909</v>
      </c>
      <c r="G2" s="61" t="s">
        <v>10</v>
      </c>
      <c r="H2" s="52" t="s">
        <v>11</v>
      </c>
      <c r="I2" s="216" t="s">
        <v>12</v>
      </c>
      <c r="J2" s="224">
        <v>45545</v>
      </c>
      <c r="K2" s="225">
        <v>45909</v>
      </c>
      <c r="L2" s="61" t="s">
        <v>24</v>
      </c>
      <c r="M2" s="216" t="s">
        <v>32</v>
      </c>
      <c r="N2" s="58">
        <v>39500</v>
      </c>
      <c r="O2" s="246">
        <v>3530000</v>
      </c>
      <c r="P2" s="58">
        <v>89854</v>
      </c>
      <c r="Q2" s="61"/>
      <c r="R2" s="52">
        <v>0</v>
      </c>
      <c r="S2" s="52"/>
      <c r="T2" s="53">
        <v>0.05</v>
      </c>
      <c r="U2" s="52">
        <f t="shared" ref="U2:U35" si="0">O2*T2</f>
        <v>176500</v>
      </c>
      <c r="V2" s="63">
        <f t="shared" ref="V2:V35" si="1">O2-U2</f>
        <v>3353500</v>
      </c>
      <c r="W2" s="65"/>
      <c r="X2" s="64">
        <v>20</v>
      </c>
      <c r="Y2" s="55">
        <v>45940</v>
      </c>
      <c r="Z2" s="56" t="s">
        <v>73</v>
      </c>
      <c r="AA2" s="54" t="s">
        <v>73</v>
      </c>
      <c r="AB2" s="67">
        <v>74502</v>
      </c>
      <c r="AC2" s="69"/>
      <c r="AD2" s="70"/>
      <c r="AE2" s="334"/>
    </row>
    <row r="3" spans="1:31" s="3" customFormat="1" hidden="1" x14ac:dyDescent="0.25">
      <c r="A3" s="100">
        <v>2</v>
      </c>
      <c r="B3" s="172" t="s">
        <v>81</v>
      </c>
      <c r="C3" s="183">
        <v>45182</v>
      </c>
      <c r="D3" s="262"/>
      <c r="E3" s="198">
        <v>45512</v>
      </c>
      <c r="F3" s="199">
        <v>45876</v>
      </c>
      <c r="G3" s="16" t="s">
        <v>10</v>
      </c>
      <c r="H3" s="1" t="s">
        <v>11</v>
      </c>
      <c r="I3" s="217" t="s">
        <v>12</v>
      </c>
      <c r="J3" s="226">
        <v>45512</v>
      </c>
      <c r="K3" s="227">
        <v>45876</v>
      </c>
      <c r="L3" s="16" t="s">
        <v>24</v>
      </c>
      <c r="M3" s="217" t="s">
        <v>33</v>
      </c>
      <c r="N3" s="14">
        <v>39500</v>
      </c>
      <c r="O3" s="247">
        <v>3600000</v>
      </c>
      <c r="P3" s="14">
        <v>56960</v>
      </c>
      <c r="Q3" s="16"/>
      <c r="R3" s="1">
        <v>20</v>
      </c>
      <c r="S3" s="1"/>
      <c r="T3" s="8">
        <v>0.05</v>
      </c>
      <c r="U3" s="1">
        <f t="shared" si="0"/>
        <v>180000</v>
      </c>
      <c r="V3" s="22">
        <f t="shared" si="1"/>
        <v>3420000</v>
      </c>
      <c r="W3" s="20"/>
      <c r="X3" s="18">
        <v>25</v>
      </c>
      <c r="Y3" s="4">
        <v>45940</v>
      </c>
      <c r="Z3" s="9" t="s">
        <v>73</v>
      </c>
      <c r="AA3" s="35" t="s">
        <v>75</v>
      </c>
      <c r="AB3" s="68">
        <v>53089</v>
      </c>
      <c r="AC3" s="20"/>
      <c r="AD3" s="28"/>
      <c r="AE3" s="335"/>
    </row>
    <row r="4" spans="1:31" s="3" customFormat="1" hidden="1" x14ac:dyDescent="0.25">
      <c r="A4" s="100">
        <v>3</v>
      </c>
      <c r="B4" s="172" t="s">
        <v>82</v>
      </c>
      <c r="C4" s="183">
        <v>45182</v>
      </c>
      <c r="D4" s="262"/>
      <c r="E4" s="198">
        <v>45877</v>
      </c>
      <c r="F4" s="199">
        <v>46241</v>
      </c>
      <c r="G4" s="16" t="s">
        <v>10</v>
      </c>
      <c r="H4" s="1" t="s">
        <v>11</v>
      </c>
      <c r="I4" s="217" t="s">
        <v>12</v>
      </c>
      <c r="J4" s="226">
        <v>45877</v>
      </c>
      <c r="K4" s="228">
        <v>46241</v>
      </c>
      <c r="L4" s="16" t="s">
        <v>24</v>
      </c>
      <c r="M4" s="217" t="s">
        <v>66</v>
      </c>
      <c r="N4" s="14">
        <v>39500</v>
      </c>
      <c r="O4" s="247">
        <v>3006000</v>
      </c>
      <c r="P4" s="14">
        <v>55430</v>
      </c>
      <c r="Q4" s="16"/>
      <c r="R4" s="1">
        <v>25</v>
      </c>
      <c r="S4" s="1"/>
      <c r="T4" s="8">
        <v>0.05</v>
      </c>
      <c r="U4" s="1">
        <f t="shared" si="0"/>
        <v>150300</v>
      </c>
      <c r="V4" s="22">
        <f t="shared" si="1"/>
        <v>2855700</v>
      </c>
      <c r="W4" s="20"/>
      <c r="X4" s="18">
        <v>35</v>
      </c>
      <c r="Y4" s="4">
        <v>45940</v>
      </c>
      <c r="Z4" s="9" t="s">
        <v>73</v>
      </c>
      <c r="AA4" s="35" t="s">
        <v>75</v>
      </c>
      <c r="AB4" s="68">
        <v>51311</v>
      </c>
      <c r="AC4" s="20"/>
      <c r="AD4" s="28"/>
      <c r="AE4" s="335"/>
    </row>
    <row r="5" spans="1:31" s="3" customFormat="1" ht="75" hidden="1" x14ac:dyDescent="0.25">
      <c r="A5" s="100">
        <v>4</v>
      </c>
      <c r="B5" s="174" t="s">
        <v>83</v>
      </c>
      <c r="C5" s="183">
        <v>43264</v>
      </c>
      <c r="D5" s="262"/>
      <c r="E5" s="198">
        <v>45682</v>
      </c>
      <c r="F5" s="199">
        <v>46046</v>
      </c>
      <c r="G5" s="16"/>
      <c r="H5" s="1"/>
      <c r="I5" s="217"/>
      <c r="J5" s="226">
        <v>45682</v>
      </c>
      <c r="K5" s="228">
        <v>46046</v>
      </c>
      <c r="L5" s="278" t="s">
        <v>193</v>
      </c>
      <c r="M5" s="217" t="s">
        <v>43</v>
      </c>
      <c r="N5" s="14">
        <v>35000</v>
      </c>
      <c r="O5" s="247">
        <v>1212502</v>
      </c>
      <c r="P5" s="14">
        <v>70895</v>
      </c>
      <c r="Q5" s="16"/>
      <c r="R5" s="1">
        <v>0</v>
      </c>
      <c r="S5" s="1"/>
      <c r="T5" s="8">
        <v>0.05</v>
      </c>
      <c r="U5" s="1">
        <f t="shared" si="0"/>
        <v>60625.100000000006</v>
      </c>
      <c r="V5" s="22">
        <f t="shared" si="1"/>
        <v>1151876.8999999999</v>
      </c>
      <c r="W5" s="20">
        <v>1140000</v>
      </c>
      <c r="X5" s="18">
        <v>20</v>
      </c>
      <c r="Y5" s="4">
        <v>45940</v>
      </c>
      <c r="Z5" s="9" t="s">
        <v>73</v>
      </c>
      <c r="AA5" s="35" t="s">
        <v>75</v>
      </c>
      <c r="AB5" s="68">
        <v>49500</v>
      </c>
      <c r="AC5" s="20">
        <v>50169</v>
      </c>
      <c r="AD5" s="34">
        <v>46411</v>
      </c>
      <c r="AE5" s="31">
        <v>46045</v>
      </c>
    </row>
    <row r="6" spans="1:31" s="3" customFormat="1" hidden="1" x14ac:dyDescent="0.25">
      <c r="A6" s="101">
        <v>5</v>
      </c>
      <c r="B6" s="332" t="s">
        <v>112</v>
      </c>
      <c r="C6" s="185">
        <v>43157</v>
      </c>
      <c r="D6" s="262"/>
      <c r="E6" s="202">
        <v>45695</v>
      </c>
      <c r="F6" s="203">
        <v>46059</v>
      </c>
      <c r="G6" s="333" t="s">
        <v>13</v>
      </c>
      <c r="H6" s="35" t="s">
        <v>11</v>
      </c>
      <c r="I6" s="22" t="s">
        <v>12</v>
      </c>
      <c r="J6" s="327">
        <v>45695</v>
      </c>
      <c r="K6" s="328">
        <v>46059</v>
      </c>
      <c r="L6" s="18" t="s">
        <v>25</v>
      </c>
      <c r="M6" s="22" t="s">
        <v>34</v>
      </c>
      <c r="N6" s="36">
        <v>39500</v>
      </c>
      <c r="O6" s="249">
        <v>2400000</v>
      </c>
      <c r="P6" s="36">
        <v>54537</v>
      </c>
      <c r="Q6" s="18"/>
      <c r="R6" s="35">
        <v>0</v>
      </c>
      <c r="S6" s="35"/>
      <c r="T6" s="37">
        <v>0.05</v>
      </c>
      <c r="U6" s="35">
        <f t="shared" si="0"/>
        <v>120000</v>
      </c>
      <c r="V6" s="22">
        <f t="shared" si="1"/>
        <v>2280000</v>
      </c>
      <c r="W6" s="20">
        <v>2410000</v>
      </c>
      <c r="X6" s="18">
        <v>20</v>
      </c>
      <c r="Y6" s="4">
        <v>45940</v>
      </c>
      <c r="Z6" s="9" t="s">
        <v>73</v>
      </c>
      <c r="AA6" s="35" t="s">
        <v>75</v>
      </c>
      <c r="AB6" s="68">
        <v>51387</v>
      </c>
      <c r="AC6" s="20">
        <v>51198</v>
      </c>
      <c r="AD6" s="34">
        <v>46424</v>
      </c>
      <c r="AE6" s="31">
        <v>46059</v>
      </c>
    </row>
    <row r="7" spans="1:31" s="3" customFormat="1" hidden="1" x14ac:dyDescent="0.25">
      <c r="A7" s="100">
        <v>6</v>
      </c>
      <c r="B7" s="172" t="s">
        <v>111</v>
      </c>
      <c r="C7" s="183">
        <v>42921</v>
      </c>
      <c r="D7" s="262"/>
      <c r="E7" s="198">
        <v>45848</v>
      </c>
      <c r="F7" s="199">
        <v>46212</v>
      </c>
      <c r="G7" s="16" t="s">
        <v>14</v>
      </c>
      <c r="H7" s="1"/>
      <c r="I7" s="217" t="s">
        <v>12</v>
      </c>
      <c r="J7" s="226">
        <v>45848</v>
      </c>
      <c r="K7" s="229">
        <v>46212</v>
      </c>
      <c r="L7" s="16" t="s">
        <v>51</v>
      </c>
      <c r="M7" s="217" t="s">
        <v>50</v>
      </c>
      <c r="N7" s="14">
        <v>3225</v>
      </c>
      <c r="O7" s="247">
        <v>340000</v>
      </c>
      <c r="P7" s="14">
        <v>18490</v>
      </c>
      <c r="Q7" s="16"/>
      <c r="R7" s="1">
        <v>50</v>
      </c>
      <c r="S7" s="1"/>
      <c r="T7" s="8">
        <v>0.05</v>
      </c>
      <c r="U7" s="1">
        <f t="shared" si="0"/>
        <v>17000</v>
      </c>
      <c r="V7" s="22">
        <f t="shared" si="1"/>
        <v>323000</v>
      </c>
      <c r="W7" s="20"/>
      <c r="X7" s="18">
        <v>50</v>
      </c>
      <c r="Y7" s="4">
        <v>45940</v>
      </c>
      <c r="Z7" s="9" t="s">
        <v>73</v>
      </c>
      <c r="AA7" s="35" t="s">
        <v>75</v>
      </c>
      <c r="AB7" s="68">
        <v>17371</v>
      </c>
      <c r="AC7" s="20"/>
      <c r="AD7" s="28"/>
      <c r="AE7" s="335"/>
    </row>
    <row r="8" spans="1:31" s="3" customFormat="1" hidden="1" x14ac:dyDescent="0.25">
      <c r="A8" s="101">
        <v>7</v>
      </c>
      <c r="B8" s="174" t="s">
        <v>110</v>
      </c>
      <c r="C8" s="183">
        <v>42646</v>
      </c>
      <c r="D8" s="262"/>
      <c r="E8" s="198">
        <v>45794</v>
      </c>
      <c r="F8" s="199">
        <v>46158</v>
      </c>
      <c r="G8" s="18" t="s">
        <v>10</v>
      </c>
      <c r="H8" s="35" t="s">
        <v>15</v>
      </c>
      <c r="I8" s="22" t="s">
        <v>12</v>
      </c>
      <c r="J8" s="327">
        <v>45794</v>
      </c>
      <c r="K8" s="328">
        <v>46158</v>
      </c>
      <c r="L8" s="18" t="s">
        <v>25</v>
      </c>
      <c r="M8" s="22" t="s">
        <v>65</v>
      </c>
      <c r="N8" s="36">
        <v>45500</v>
      </c>
      <c r="O8" s="249">
        <v>1500000</v>
      </c>
      <c r="P8" s="36">
        <v>54764</v>
      </c>
      <c r="Q8" s="18"/>
      <c r="R8" s="35">
        <v>0</v>
      </c>
      <c r="S8" s="35"/>
      <c r="T8" s="37">
        <v>0.05</v>
      </c>
      <c r="U8" s="35">
        <f t="shared" si="0"/>
        <v>75000</v>
      </c>
      <c r="V8" s="22">
        <f t="shared" si="1"/>
        <v>1425000</v>
      </c>
      <c r="W8" s="20">
        <v>1510000</v>
      </c>
      <c r="X8" s="18">
        <v>20</v>
      </c>
      <c r="Y8" s="4">
        <v>45940</v>
      </c>
      <c r="Z8" s="9" t="s">
        <v>73</v>
      </c>
      <c r="AA8" s="35" t="s">
        <v>75</v>
      </c>
      <c r="AB8" s="68">
        <v>50386</v>
      </c>
      <c r="AC8" s="20">
        <v>51998</v>
      </c>
      <c r="AD8" s="345">
        <v>46523</v>
      </c>
      <c r="AE8" s="31">
        <v>46520</v>
      </c>
    </row>
    <row r="9" spans="1:31" hidden="1" x14ac:dyDescent="0.25">
      <c r="A9" s="100">
        <v>8</v>
      </c>
      <c r="B9" s="173" t="s">
        <v>109</v>
      </c>
      <c r="C9" s="184">
        <v>42584</v>
      </c>
      <c r="D9" s="263"/>
      <c r="E9" s="200">
        <v>45492</v>
      </c>
      <c r="F9" s="201">
        <v>45856</v>
      </c>
      <c r="G9" s="191" t="s">
        <v>16</v>
      </c>
      <c r="H9" s="6" t="s">
        <v>15</v>
      </c>
      <c r="I9" s="218" t="s">
        <v>12</v>
      </c>
      <c r="J9" s="230" t="s">
        <v>17</v>
      </c>
      <c r="K9" s="231" t="s">
        <v>18</v>
      </c>
      <c r="L9" s="191" t="s">
        <v>25</v>
      </c>
      <c r="M9" s="218" t="s">
        <v>35</v>
      </c>
      <c r="N9" s="14">
        <v>45500</v>
      </c>
      <c r="O9" s="248">
        <v>1425000</v>
      </c>
      <c r="P9" s="15">
        <v>87951</v>
      </c>
      <c r="Q9" s="16"/>
      <c r="R9" s="1"/>
      <c r="S9" s="1"/>
      <c r="T9" s="8">
        <v>0.05</v>
      </c>
      <c r="U9" s="1">
        <f t="shared" si="0"/>
        <v>71250</v>
      </c>
      <c r="V9" s="22">
        <f t="shared" si="1"/>
        <v>1353750</v>
      </c>
      <c r="W9" s="20"/>
      <c r="X9" s="18"/>
      <c r="Y9" s="4">
        <v>45940</v>
      </c>
      <c r="Z9" s="9" t="s">
        <v>73</v>
      </c>
      <c r="AA9" s="35" t="s">
        <v>75</v>
      </c>
      <c r="AB9" s="68">
        <v>0</v>
      </c>
      <c r="AC9" s="24"/>
      <c r="AD9" s="29"/>
      <c r="AE9" s="336"/>
    </row>
    <row r="10" spans="1:31" s="3" customFormat="1" hidden="1" x14ac:dyDescent="0.25">
      <c r="A10" s="101">
        <v>9</v>
      </c>
      <c r="B10" s="174" t="s">
        <v>108</v>
      </c>
      <c r="C10" s="183">
        <v>42527</v>
      </c>
      <c r="D10" s="262"/>
      <c r="E10" s="198">
        <v>45772</v>
      </c>
      <c r="F10" s="199">
        <v>46136</v>
      </c>
      <c r="G10" s="18" t="s">
        <v>16</v>
      </c>
      <c r="H10" s="35" t="s">
        <v>15</v>
      </c>
      <c r="I10" s="22" t="s">
        <v>12</v>
      </c>
      <c r="J10" s="202">
        <v>45772</v>
      </c>
      <c r="K10" s="203">
        <v>46136</v>
      </c>
      <c r="L10" s="18" t="s">
        <v>24</v>
      </c>
      <c r="M10" s="22" t="s">
        <v>45</v>
      </c>
      <c r="N10" s="36">
        <v>45500</v>
      </c>
      <c r="O10" s="249">
        <v>2089500</v>
      </c>
      <c r="P10" s="36">
        <v>44342</v>
      </c>
      <c r="Q10" s="18"/>
      <c r="R10" s="35">
        <v>0</v>
      </c>
      <c r="S10" s="35"/>
      <c r="T10" s="37">
        <v>0.05</v>
      </c>
      <c r="U10" s="35">
        <f t="shared" si="0"/>
        <v>104475</v>
      </c>
      <c r="V10" s="22">
        <f t="shared" si="1"/>
        <v>1985025</v>
      </c>
      <c r="W10" s="20">
        <v>1740000</v>
      </c>
      <c r="X10" s="18">
        <v>20</v>
      </c>
      <c r="Y10" s="4">
        <v>45940</v>
      </c>
      <c r="Z10" s="9" t="s">
        <v>73</v>
      </c>
      <c r="AA10" s="35" t="s">
        <v>75</v>
      </c>
      <c r="AB10" s="68">
        <v>51540</v>
      </c>
      <c r="AC10" s="20">
        <v>51408</v>
      </c>
      <c r="AD10" s="345">
        <v>46501</v>
      </c>
      <c r="AE10" s="31">
        <v>46135</v>
      </c>
    </row>
    <row r="11" spans="1:31" s="3" customFormat="1" hidden="1" x14ac:dyDescent="0.25">
      <c r="A11" s="100">
        <v>10</v>
      </c>
      <c r="B11" s="174" t="s">
        <v>107</v>
      </c>
      <c r="C11" s="183">
        <v>42500</v>
      </c>
      <c r="D11" s="262"/>
      <c r="E11" s="202">
        <v>45741</v>
      </c>
      <c r="F11" s="203">
        <v>46105</v>
      </c>
      <c r="G11" s="16" t="s">
        <v>10</v>
      </c>
      <c r="H11" s="1" t="s">
        <v>11</v>
      </c>
      <c r="I11" s="217" t="s">
        <v>21</v>
      </c>
      <c r="J11" s="226">
        <v>45741</v>
      </c>
      <c r="K11" s="228">
        <v>46105</v>
      </c>
      <c r="L11" s="16" t="s">
        <v>48</v>
      </c>
      <c r="M11" s="217" t="s">
        <v>61</v>
      </c>
      <c r="N11" s="14">
        <v>39500</v>
      </c>
      <c r="O11" s="247">
        <v>1440000</v>
      </c>
      <c r="P11" s="14">
        <v>57169</v>
      </c>
      <c r="Q11" s="16"/>
      <c r="R11" s="1">
        <v>25</v>
      </c>
      <c r="S11" s="1"/>
      <c r="T11" s="8">
        <v>0.05</v>
      </c>
      <c r="U11" s="1">
        <f t="shared" si="0"/>
        <v>72000</v>
      </c>
      <c r="V11" s="22">
        <f t="shared" si="1"/>
        <v>1368000</v>
      </c>
      <c r="W11" s="20">
        <v>1368000</v>
      </c>
      <c r="X11" s="18">
        <v>35</v>
      </c>
      <c r="Y11" s="4">
        <v>45940</v>
      </c>
      <c r="Z11" s="9" t="s">
        <v>73</v>
      </c>
      <c r="AA11" s="35" t="s">
        <v>75</v>
      </c>
      <c r="AB11" s="68">
        <v>50182</v>
      </c>
      <c r="AC11" s="20">
        <v>53867</v>
      </c>
      <c r="AD11" s="34">
        <v>46470</v>
      </c>
      <c r="AE11" s="31">
        <v>46104</v>
      </c>
    </row>
    <row r="12" spans="1:31" s="3" customFormat="1" x14ac:dyDescent="0.25">
      <c r="A12" s="100">
        <v>11</v>
      </c>
      <c r="B12" s="172" t="s">
        <v>106</v>
      </c>
      <c r="C12" s="183">
        <v>42185</v>
      </c>
      <c r="D12" s="262"/>
      <c r="E12" s="198">
        <v>45817</v>
      </c>
      <c r="F12" s="199">
        <v>46181</v>
      </c>
      <c r="G12" s="16" t="s">
        <v>10</v>
      </c>
      <c r="H12" s="1" t="s">
        <v>11</v>
      </c>
      <c r="I12" s="217" t="s">
        <v>21</v>
      </c>
      <c r="J12" s="226">
        <v>45817</v>
      </c>
      <c r="K12" s="229">
        <v>46181</v>
      </c>
      <c r="L12" s="16" t="s">
        <v>25</v>
      </c>
      <c r="M12" s="217" t="s">
        <v>44</v>
      </c>
      <c r="N12" s="14">
        <v>39500</v>
      </c>
      <c r="O12" s="247">
        <v>1100000</v>
      </c>
      <c r="P12" s="14">
        <v>52147</v>
      </c>
      <c r="Q12" s="16"/>
      <c r="R12" s="1">
        <v>0</v>
      </c>
      <c r="S12" s="1"/>
      <c r="T12" s="8">
        <v>0.05</v>
      </c>
      <c r="U12" s="1">
        <f t="shared" si="0"/>
        <v>55000</v>
      </c>
      <c r="V12" s="22">
        <f t="shared" si="1"/>
        <v>1045000</v>
      </c>
      <c r="W12" s="20"/>
      <c r="X12" s="18">
        <v>20</v>
      </c>
      <c r="Y12" s="4">
        <v>45940</v>
      </c>
      <c r="Z12" s="9" t="s">
        <v>73</v>
      </c>
      <c r="AA12" s="35" t="s">
        <v>75</v>
      </c>
      <c r="AB12" s="68">
        <v>50174</v>
      </c>
      <c r="AC12" s="20"/>
      <c r="AD12" s="28"/>
      <c r="AE12" s="335"/>
    </row>
    <row r="13" spans="1:31" s="3" customFormat="1" hidden="1" x14ac:dyDescent="0.25">
      <c r="A13" s="100">
        <v>12</v>
      </c>
      <c r="B13" s="174" t="s">
        <v>105</v>
      </c>
      <c r="C13" s="183">
        <v>41446</v>
      </c>
      <c r="D13" s="262"/>
      <c r="E13" s="202">
        <v>45745</v>
      </c>
      <c r="F13" s="203">
        <v>46109</v>
      </c>
      <c r="G13" s="16" t="s">
        <v>16</v>
      </c>
      <c r="H13" s="1" t="s">
        <v>15</v>
      </c>
      <c r="I13" s="217" t="s">
        <v>21</v>
      </c>
      <c r="J13" s="226">
        <v>45745</v>
      </c>
      <c r="K13" s="228">
        <v>46109</v>
      </c>
      <c r="L13" s="16" t="s">
        <v>24</v>
      </c>
      <c r="M13" s="217">
        <v>38006811</v>
      </c>
      <c r="N13" s="14">
        <v>45500</v>
      </c>
      <c r="O13" s="247">
        <v>900000</v>
      </c>
      <c r="P13" s="14">
        <v>52547</v>
      </c>
      <c r="Q13" s="16"/>
      <c r="R13" s="1">
        <v>0</v>
      </c>
      <c r="S13" s="1"/>
      <c r="T13" s="8">
        <v>0.05</v>
      </c>
      <c r="U13" s="1">
        <f t="shared" si="0"/>
        <v>45000</v>
      </c>
      <c r="V13" s="22">
        <f t="shared" si="1"/>
        <v>855000</v>
      </c>
      <c r="W13" s="20">
        <v>900000</v>
      </c>
      <c r="X13" s="18">
        <v>20</v>
      </c>
      <c r="Y13" s="4">
        <v>45940</v>
      </c>
      <c r="Z13" s="9" t="s">
        <v>73</v>
      </c>
      <c r="AA13" s="35" t="s">
        <v>75</v>
      </c>
      <c r="AB13" s="68">
        <v>49520</v>
      </c>
      <c r="AC13" s="20">
        <v>48540</v>
      </c>
      <c r="AD13" s="34">
        <v>46474</v>
      </c>
      <c r="AE13" s="31">
        <v>46106</v>
      </c>
    </row>
    <row r="14" spans="1:31" s="3" customFormat="1" x14ac:dyDescent="0.25">
      <c r="A14" s="101">
        <v>13</v>
      </c>
      <c r="B14" s="174" t="s">
        <v>104</v>
      </c>
      <c r="C14" s="183">
        <v>41443</v>
      </c>
      <c r="D14" s="262"/>
      <c r="E14" s="198">
        <v>45810</v>
      </c>
      <c r="F14" s="199">
        <v>46174</v>
      </c>
      <c r="G14" s="18" t="s">
        <v>10</v>
      </c>
      <c r="H14" s="35" t="s">
        <v>15</v>
      </c>
      <c r="I14" s="22" t="s">
        <v>21</v>
      </c>
      <c r="J14" s="327">
        <v>45810</v>
      </c>
      <c r="K14" s="348">
        <v>46174</v>
      </c>
      <c r="L14" s="18" t="s">
        <v>25</v>
      </c>
      <c r="M14" s="22" t="s">
        <v>59</v>
      </c>
      <c r="N14" s="36">
        <v>45500</v>
      </c>
      <c r="O14" s="249">
        <v>1100000</v>
      </c>
      <c r="P14" s="36">
        <v>51792</v>
      </c>
      <c r="Q14" s="18"/>
      <c r="R14" s="35">
        <v>0</v>
      </c>
      <c r="S14" s="35"/>
      <c r="T14" s="37">
        <v>0.05</v>
      </c>
      <c r="U14" s="35">
        <f t="shared" si="0"/>
        <v>55000</v>
      </c>
      <c r="V14" s="22">
        <f t="shared" si="1"/>
        <v>1045000</v>
      </c>
      <c r="W14" s="20">
        <v>1050000</v>
      </c>
      <c r="X14" s="18">
        <v>20</v>
      </c>
      <c r="Y14" s="4">
        <v>45940</v>
      </c>
      <c r="Z14" s="9" t="s">
        <v>73</v>
      </c>
      <c r="AA14" s="35" t="s">
        <v>75</v>
      </c>
      <c r="AB14" s="68">
        <v>49900</v>
      </c>
      <c r="AC14" s="20">
        <v>51588</v>
      </c>
      <c r="AD14" s="345">
        <v>46539</v>
      </c>
      <c r="AE14" s="31">
        <v>46174</v>
      </c>
    </row>
    <row r="15" spans="1:31" s="3" customFormat="1" hidden="1" x14ac:dyDescent="0.25">
      <c r="A15" s="100">
        <v>14</v>
      </c>
      <c r="B15" s="172" t="s">
        <v>103</v>
      </c>
      <c r="C15" s="183">
        <v>41166</v>
      </c>
      <c r="D15" s="262"/>
      <c r="E15" s="198">
        <v>45583</v>
      </c>
      <c r="F15" s="199">
        <v>45947</v>
      </c>
      <c r="G15" s="16" t="s">
        <v>16</v>
      </c>
      <c r="H15" s="1" t="s">
        <v>11</v>
      </c>
      <c r="I15" s="217" t="s">
        <v>12</v>
      </c>
      <c r="J15" s="226">
        <v>45583</v>
      </c>
      <c r="K15" s="228">
        <v>45947</v>
      </c>
      <c r="L15" s="16" t="s">
        <v>26</v>
      </c>
      <c r="M15" s="217" t="s">
        <v>36</v>
      </c>
      <c r="N15" s="14">
        <v>39500</v>
      </c>
      <c r="O15" s="247">
        <v>892000</v>
      </c>
      <c r="P15" s="14">
        <v>51920</v>
      </c>
      <c r="Q15" s="16"/>
      <c r="R15" s="1">
        <v>20</v>
      </c>
      <c r="S15" s="1"/>
      <c r="T15" s="8">
        <v>0.05</v>
      </c>
      <c r="U15" s="1">
        <f t="shared" si="0"/>
        <v>44600</v>
      </c>
      <c r="V15" s="22">
        <f t="shared" si="1"/>
        <v>847400</v>
      </c>
      <c r="W15" s="20"/>
      <c r="X15" s="18">
        <v>25</v>
      </c>
      <c r="Y15" s="4">
        <v>45940</v>
      </c>
      <c r="Z15" s="9" t="s">
        <v>73</v>
      </c>
      <c r="AA15" s="35" t="s">
        <v>75</v>
      </c>
      <c r="AB15" s="68">
        <v>48900</v>
      </c>
      <c r="AC15" s="20"/>
      <c r="AD15" s="28"/>
      <c r="AE15" s="335"/>
    </row>
    <row r="16" spans="1:31" s="3" customFormat="1" hidden="1" x14ac:dyDescent="0.25">
      <c r="A16" s="101">
        <v>15</v>
      </c>
      <c r="B16" s="174" t="s">
        <v>102</v>
      </c>
      <c r="C16" s="183">
        <v>41156</v>
      </c>
      <c r="D16" s="262"/>
      <c r="E16" s="198">
        <v>45776</v>
      </c>
      <c r="F16" s="199">
        <v>46140</v>
      </c>
      <c r="G16" s="18" t="s">
        <v>10</v>
      </c>
      <c r="H16" s="35" t="s">
        <v>11</v>
      </c>
      <c r="I16" s="22" t="s">
        <v>12</v>
      </c>
      <c r="J16" s="202">
        <v>45776</v>
      </c>
      <c r="K16" s="203">
        <v>46140</v>
      </c>
      <c r="L16" s="18" t="s">
        <v>48</v>
      </c>
      <c r="M16" s="22" t="s">
        <v>49</v>
      </c>
      <c r="N16" s="36">
        <v>39500</v>
      </c>
      <c r="O16" s="249">
        <v>1080257</v>
      </c>
      <c r="P16" s="36">
        <v>52294</v>
      </c>
      <c r="Q16" s="18"/>
      <c r="R16" s="35">
        <v>20</v>
      </c>
      <c r="S16" s="35"/>
      <c r="T16" s="37">
        <v>0.05</v>
      </c>
      <c r="U16" s="35">
        <f t="shared" si="0"/>
        <v>54012.850000000006</v>
      </c>
      <c r="V16" s="22">
        <f t="shared" si="1"/>
        <v>1026244.15</v>
      </c>
      <c r="W16" s="20">
        <v>1080000</v>
      </c>
      <c r="X16" s="18">
        <v>25</v>
      </c>
      <c r="Y16" s="4">
        <v>45940</v>
      </c>
      <c r="Z16" s="9" t="s">
        <v>73</v>
      </c>
      <c r="AA16" s="35" t="s">
        <v>75</v>
      </c>
      <c r="AB16" s="68">
        <v>48873</v>
      </c>
      <c r="AC16" s="20">
        <v>49387</v>
      </c>
      <c r="AD16" s="345">
        <v>46505</v>
      </c>
      <c r="AE16" s="31">
        <v>46137</v>
      </c>
    </row>
    <row r="17" spans="1:31" s="3" customFormat="1" hidden="1" x14ac:dyDescent="0.25">
      <c r="A17" s="100">
        <v>16</v>
      </c>
      <c r="B17" s="174" t="s">
        <v>79</v>
      </c>
      <c r="C17" s="185">
        <v>40988</v>
      </c>
      <c r="D17" s="264"/>
      <c r="E17" s="202">
        <v>45642</v>
      </c>
      <c r="F17" s="203">
        <v>46006</v>
      </c>
      <c r="G17" s="18" t="s">
        <v>10</v>
      </c>
      <c r="H17" s="35" t="s">
        <v>11</v>
      </c>
      <c r="I17" s="22" t="s">
        <v>21</v>
      </c>
      <c r="J17" s="202">
        <v>45642</v>
      </c>
      <c r="K17" s="203">
        <v>46006</v>
      </c>
      <c r="L17" s="18" t="s">
        <v>25</v>
      </c>
      <c r="M17" s="22" t="s">
        <v>62</v>
      </c>
      <c r="N17" s="36">
        <v>39500</v>
      </c>
      <c r="O17" s="249">
        <v>810000</v>
      </c>
      <c r="P17" s="36">
        <v>51363</v>
      </c>
      <c r="Q17" s="18"/>
      <c r="R17" s="35">
        <v>0</v>
      </c>
      <c r="S17" s="35"/>
      <c r="T17" s="37">
        <v>0.05</v>
      </c>
      <c r="U17" s="35">
        <f t="shared" si="0"/>
        <v>40500</v>
      </c>
      <c r="V17" s="22">
        <f t="shared" si="1"/>
        <v>769500</v>
      </c>
      <c r="W17" s="20">
        <v>760000</v>
      </c>
      <c r="X17" s="18">
        <v>20</v>
      </c>
      <c r="Y17" s="4">
        <v>45940</v>
      </c>
      <c r="Z17" s="9" t="s">
        <v>73</v>
      </c>
      <c r="AA17" s="35" t="s">
        <v>75</v>
      </c>
      <c r="AB17" s="68">
        <v>48798</v>
      </c>
      <c r="AC17" s="20">
        <v>48808</v>
      </c>
      <c r="AD17" s="34">
        <v>46371</v>
      </c>
      <c r="AE17" s="31">
        <v>46002</v>
      </c>
    </row>
    <row r="18" spans="1:31" s="3" customFormat="1" hidden="1" x14ac:dyDescent="0.25">
      <c r="A18" s="101">
        <v>17</v>
      </c>
      <c r="B18" s="174" t="s">
        <v>101</v>
      </c>
      <c r="C18" s="183">
        <v>40966</v>
      </c>
      <c r="D18" s="262"/>
      <c r="E18" s="202">
        <v>45763</v>
      </c>
      <c r="F18" s="203">
        <v>46127</v>
      </c>
      <c r="G18" s="18" t="s">
        <v>19</v>
      </c>
      <c r="H18" s="35" t="s">
        <v>11</v>
      </c>
      <c r="I18" s="22" t="s">
        <v>12</v>
      </c>
      <c r="J18" s="202">
        <v>45763</v>
      </c>
      <c r="K18" s="203">
        <v>46127</v>
      </c>
      <c r="L18" s="18" t="s">
        <v>25</v>
      </c>
      <c r="M18" s="22" t="s">
        <v>41</v>
      </c>
      <c r="N18" s="36">
        <v>35000</v>
      </c>
      <c r="O18" s="249">
        <v>1200000</v>
      </c>
      <c r="P18" s="36">
        <v>52246</v>
      </c>
      <c r="Q18" s="18"/>
      <c r="R18" s="35">
        <v>0</v>
      </c>
      <c r="S18" s="35"/>
      <c r="T18" s="37">
        <v>0.05</v>
      </c>
      <c r="U18" s="35">
        <f t="shared" si="0"/>
        <v>60000</v>
      </c>
      <c r="V18" s="22">
        <v>1150000</v>
      </c>
      <c r="W18" s="20">
        <v>1115000</v>
      </c>
      <c r="X18" s="18">
        <v>20</v>
      </c>
      <c r="Y18" s="4">
        <v>45940</v>
      </c>
      <c r="Z18" s="9" t="s">
        <v>73</v>
      </c>
      <c r="AA18" s="35" t="s">
        <v>75</v>
      </c>
      <c r="AB18" s="68">
        <v>49200</v>
      </c>
      <c r="AC18" s="20">
        <v>48902</v>
      </c>
      <c r="AD18" s="345">
        <v>46492</v>
      </c>
      <c r="AE18" s="31">
        <v>46127</v>
      </c>
    </row>
    <row r="19" spans="1:31" hidden="1" x14ac:dyDescent="0.25">
      <c r="A19" s="100">
        <v>18</v>
      </c>
      <c r="B19" s="172" t="s">
        <v>100</v>
      </c>
      <c r="C19" s="183">
        <v>40821</v>
      </c>
      <c r="D19" s="262"/>
      <c r="E19" s="198">
        <v>45562</v>
      </c>
      <c r="F19" s="199">
        <v>45926</v>
      </c>
      <c r="G19" s="16" t="s">
        <v>16</v>
      </c>
      <c r="H19" s="1" t="s">
        <v>15</v>
      </c>
      <c r="I19" s="217" t="s">
        <v>12</v>
      </c>
      <c r="J19" s="226">
        <v>45562</v>
      </c>
      <c r="K19" s="227">
        <v>45926</v>
      </c>
      <c r="L19" s="16" t="s">
        <v>24</v>
      </c>
      <c r="M19" s="217" t="s">
        <v>63</v>
      </c>
      <c r="N19" s="14">
        <v>45500</v>
      </c>
      <c r="O19" s="247">
        <v>1100000</v>
      </c>
      <c r="P19" s="14">
        <v>55568</v>
      </c>
      <c r="Q19" s="16"/>
      <c r="R19" s="1">
        <v>0</v>
      </c>
      <c r="S19" s="1"/>
      <c r="T19" s="8">
        <v>0.05</v>
      </c>
      <c r="U19" s="1">
        <f t="shared" si="0"/>
        <v>55000</v>
      </c>
      <c r="V19" s="22">
        <f t="shared" si="1"/>
        <v>1045000</v>
      </c>
      <c r="W19" s="20"/>
      <c r="X19" s="18">
        <v>20</v>
      </c>
      <c r="Y19" s="4">
        <v>45940</v>
      </c>
      <c r="Z19" s="9" t="s">
        <v>73</v>
      </c>
      <c r="AA19" s="35" t="s">
        <v>75</v>
      </c>
      <c r="AB19" s="68">
        <v>49900</v>
      </c>
      <c r="AC19" s="24"/>
      <c r="AD19" s="29"/>
      <c r="AE19" s="336"/>
    </row>
    <row r="20" spans="1:31" s="3" customFormat="1" hidden="1" x14ac:dyDescent="0.25">
      <c r="A20" s="101">
        <v>19</v>
      </c>
      <c r="B20" s="174" t="s">
        <v>99</v>
      </c>
      <c r="C20" s="185">
        <v>40819</v>
      </c>
      <c r="D20" s="264"/>
      <c r="E20" s="202">
        <v>45668</v>
      </c>
      <c r="F20" s="203">
        <v>46032</v>
      </c>
      <c r="G20" s="18" t="s">
        <v>19</v>
      </c>
      <c r="H20" s="35" t="s">
        <v>11</v>
      </c>
      <c r="I20" s="22" t="s">
        <v>12</v>
      </c>
      <c r="J20" s="202">
        <v>45668</v>
      </c>
      <c r="K20" s="203">
        <v>46032</v>
      </c>
      <c r="L20" s="18" t="s">
        <v>25</v>
      </c>
      <c r="M20" s="22" t="s">
        <v>57</v>
      </c>
      <c r="N20" s="36">
        <v>35000</v>
      </c>
      <c r="O20" s="249">
        <v>1080000</v>
      </c>
      <c r="P20" s="36">
        <v>52222</v>
      </c>
      <c r="Q20" s="18"/>
      <c r="R20" s="35">
        <v>0</v>
      </c>
      <c r="S20" s="35"/>
      <c r="T20" s="37">
        <v>0.05</v>
      </c>
      <c r="U20" s="35">
        <f t="shared" si="0"/>
        <v>54000</v>
      </c>
      <c r="V20" s="22">
        <f t="shared" si="1"/>
        <v>1026000</v>
      </c>
      <c r="W20" s="20">
        <v>1070000</v>
      </c>
      <c r="X20" s="18">
        <v>20</v>
      </c>
      <c r="Y20" s="4">
        <v>45940</v>
      </c>
      <c r="Z20" s="9" t="s">
        <v>73</v>
      </c>
      <c r="AA20" s="35" t="s">
        <v>75</v>
      </c>
      <c r="AB20" s="68">
        <v>49133</v>
      </c>
      <c r="AC20" s="20">
        <v>49245</v>
      </c>
      <c r="AD20" s="34">
        <v>46397</v>
      </c>
      <c r="AE20" s="31">
        <v>46031</v>
      </c>
    </row>
    <row r="21" spans="1:31" s="3" customFormat="1" hidden="1" x14ac:dyDescent="0.25">
      <c r="A21" s="100">
        <v>20</v>
      </c>
      <c r="B21" s="172" t="s">
        <v>98</v>
      </c>
      <c r="C21" s="183">
        <v>40718</v>
      </c>
      <c r="D21" s="262"/>
      <c r="E21" s="198">
        <v>45503</v>
      </c>
      <c r="F21" s="199">
        <v>45867</v>
      </c>
      <c r="G21" s="16" t="s">
        <v>20</v>
      </c>
      <c r="H21" s="1" t="s">
        <v>11</v>
      </c>
      <c r="I21" s="217" t="s">
        <v>12</v>
      </c>
      <c r="J21" s="226">
        <v>45503</v>
      </c>
      <c r="K21" s="232">
        <v>45867</v>
      </c>
      <c r="L21" s="16" t="s">
        <v>27</v>
      </c>
      <c r="M21" s="217" t="s">
        <v>37</v>
      </c>
      <c r="N21" s="14">
        <v>28000</v>
      </c>
      <c r="O21" s="247">
        <v>470000</v>
      </c>
      <c r="P21" s="14">
        <v>50575</v>
      </c>
      <c r="Q21" s="16"/>
      <c r="R21" s="1">
        <v>50</v>
      </c>
      <c r="S21" s="1"/>
      <c r="T21" s="8">
        <v>0.05</v>
      </c>
      <c r="U21" s="1">
        <f t="shared" si="0"/>
        <v>23500</v>
      </c>
      <c r="V21" s="22">
        <f t="shared" si="1"/>
        <v>446500</v>
      </c>
      <c r="W21" s="20"/>
      <c r="X21" s="18">
        <v>50</v>
      </c>
      <c r="Y21" s="4">
        <v>45940</v>
      </c>
      <c r="Z21" s="9" t="s">
        <v>73</v>
      </c>
      <c r="AA21" s="35" t="s">
        <v>75</v>
      </c>
      <c r="AB21" s="68">
        <v>47323</v>
      </c>
      <c r="AC21" s="20"/>
      <c r="AD21" s="28"/>
      <c r="AE21" s="335"/>
    </row>
    <row r="22" spans="1:31" s="3" customFormat="1" hidden="1" x14ac:dyDescent="0.25">
      <c r="A22" s="101">
        <v>21</v>
      </c>
      <c r="B22" s="174" t="s">
        <v>97</v>
      </c>
      <c r="C22" s="185">
        <v>40376</v>
      </c>
      <c r="D22" s="264"/>
      <c r="E22" s="202">
        <v>45660</v>
      </c>
      <c r="F22" s="203">
        <v>46024</v>
      </c>
      <c r="G22" s="18" t="s">
        <v>16</v>
      </c>
      <c r="H22" s="35" t="s">
        <v>11</v>
      </c>
      <c r="I22" s="22" t="s">
        <v>21</v>
      </c>
      <c r="J22" s="202">
        <v>45660</v>
      </c>
      <c r="K22" s="203">
        <v>46024</v>
      </c>
      <c r="L22" s="18" t="s">
        <v>28</v>
      </c>
      <c r="M22" s="22" t="s">
        <v>38</v>
      </c>
      <c r="N22" s="36">
        <v>39500</v>
      </c>
      <c r="O22" s="249">
        <v>800000</v>
      </c>
      <c r="P22" s="36">
        <v>51370</v>
      </c>
      <c r="Q22" s="18"/>
      <c r="R22" s="35">
        <v>50</v>
      </c>
      <c r="S22" s="35"/>
      <c r="T22" s="37">
        <v>0.05</v>
      </c>
      <c r="U22" s="35">
        <f t="shared" si="0"/>
        <v>40000</v>
      </c>
      <c r="V22" s="22">
        <f t="shared" si="1"/>
        <v>760000</v>
      </c>
      <c r="W22" s="20">
        <v>790000</v>
      </c>
      <c r="X22" s="18">
        <v>50</v>
      </c>
      <c r="Y22" s="4">
        <v>45940</v>
      </c>
      <c r="Z22" s="9" t="s">
        <v>73</v>
      </c>
      <c r="AA22" s="35" t="s">
        <v>75</v>
      </c>
      <c r="AB22" s="68">
        <v>48028</v>
      </c>
      <c r="AC22" s="20">
        <v>48045</v>
      </c>
      <c r="AD22" s="34">
        <v>46389</v>
      </c>
      <c r="AE22" s="31">
        <v>46022</v>
      </c>
    </row>
    <row r="23" spans="1:31" s="3" customFormat="1" hidden="1" x14ac:dyDescent="0.25">
      <c r="A23" s="100">
        <v>22</v>
      </c>
      <c r="B23" s="172" t="s">
        <v>96</v>
      </c>
      <c r="C23" s="183">
        <v>40312</v>
      </c>
      <c r="D23" s="262"/>
      <c r="E23" s="198">
        <v>45585</v>
      </c>
      <c r="F23" s="199">
        <v>45949</v>
      </c>
      <c r="G23" s="16" t="s">
        <v>20</v>
      </c>
      <c r="H23" s="1" t="s">
        <v>11</v>
      </c>
      <c r="I23" s="217" t="s">
        <v>21</v>
      </c>
      <c r="J23" s="226">
        <v>45585</v>
      </c>
      <c r="K23" s="228">
        <v>45949</v>
      </c>
      <c r="L23" s="16" t="s">
        <v>24</v>
      </c>
      <c r="M23" s="217" t="s">
        <v>39</v>
      </c>
      <c r="N23" s="14">
        <v>28000</v>
      </c>
      <c r="O23" s="247">
        <v>819775</v>
      </c>
      <c r="P23" s="14">
        <v>51944</v>
      </c>
      <c r="Q23" s="16"/>
      <c r="R23" s="1">
        <v>50</v>
      </c>
      <c r="S23" s="1"/>
      <c r="T23" s="8">
        <v>0.05</v>
      </c>
      <c r="U23" s="1">
        <f t="shared" si="0"/>
        <v>40988.75</v>
      </c>
      <c r="V23" s="22">
        <f t="shared" si="1"/>
        <v>778786.25</v>
      </c>
      <c r="W23" s="20"/>
      <c r="X23" s="18">
        <v>50</v>
      </c>
      <c r="Y23" s="4">
        <v>45940</v>
      </c>
      <c r="Z23" s="9" t="s">
        <v>73</v>
      </c>
      <c r="AA23" s="35" t="s">
        <v>75</v>
      </c>
      <c r="AB23" s="68">
        <v>47978</v>
      </c>
      <c r="AC23" s="20"/>
      <c r="AD23" s="28"/>
      <c r="AE23" s="335"/>
    </row>
    <row r="24" spans="1:31" s="3" customFormat="1" hidden="1" x14ac:dyDescent="0.25">
      <c r="A24" s="100">
        <v>23</v>
      </c>
      <c r="B24" s="174" t="s">
        <v>95</v>
      </c>
      <c r="C24" s="185">
        <v>39784</v>
      </c>
      <c r="D24" s="264"/>
      <c r="E24" s="202">
        <v>45648</v>
      </c>
      <c r="F24" s="203">
        <v>46012</v>
      </c>
      <c r="G24" s="18" t="s">
        <v>16</v>
      </c>
      <c r="H24" s="35" t="s">
        <v>11</v>
      </c>
      <c r="I24" s="22" t="s">
        <v>12</v>
      </c>
      <c r="J24" s="202">
        <v>45648</v>
      </c>
      <c r="K24" s="203">
        <v>46012</v>
      </c>
      <c r="L24" s="18" t="s">
        <v>27</v>
      </c>
      <c r="M24" s="22" t="s">
        <v>56</v>
      </c>
      <c r="N24" s="36">
        <v>39500</v>
      </c>
      <c r="O24" s="249">
        <v>900000</v>
      </c>
      <c r="P24" s="36">
        <v>52965</v>
      </c>
      <c r="Q24" s="18"/>
      <c r="R24" s="35">
        <v>25</v>
      </c>
      <c r="S24" s="35"/>
      <c r="T24" s="37">
        <v>0.05</v>
      </c>
      <c r="U24" s="35">
        <f t="shared" si="0"/>
        <v>45000</v>
      </c>
      <c r="V24" s="22">
        <f t="shared" si="1"/>
        <v>855000</v>
      </c>
      <c r="W24" s="20">
        <v>895000</v>
      </c>
      <c r="X24" s="18">
        <v>35</v>
      </c>
      <c r="Y24" s="4">
        <v>45940</v>
      </c>
      <c r="Z24" s="9" t="s">
        <v>73</v>
      </c>
      <c r="AA24" s="35" t="s">
        <v>75</v>
      </c>
      <c r="AB24" s="68">
        <v>48346</v>
      </c>
      <c r="AC24" s="20">
        <v>48505</v>
      </c>
      <c r="AD24" s="34">
        <v>46377</v>
      </c>
      <c r="AE24" s="31">
        <v>46010</v>
      </c>
    </row>
    <row r="25" spans="1:31" s="3" customFormat="1" hidden="1" x14ac:dyDescent="0.25">
      <c r="A25" s="101">
        <v>24</v>
      </c>
      <c r="B25" s="174" t="s">
        <v>94</v>
      </c>
      <c r="C25" s="185">
        <v>39716</v>
      </c>
      <c r="D25" s="262"/>
      <c r="E25" s="202">
        <v>45712</v>
      </c>
      <c r="F25" s="203">
        <v>46076</v>
      </c>
      <c r="G25" s="18" t="s">
        <v>16</v>
      </c>
      <c r="H25" s="35" t="s">
        <v>11</v>
      </c>
      <c r="I25" s="22" t="s">
        <v>12</v>
      </c>
      <c r="J25" s="327">
        <v>45712</v>
      </c>
      <c r="K25" s="328">
        <v>46076</v>
      </c>
      <c r="L25" s="18" t="s">
        <v>25</v>
      </c>
      <c r="M25" s="22" t="s">
        <v>55</v>
      </c>
      <c r="N25" s="36">
        <v>39500</v>
      </c>
      <c r="O25" s="249">
        <v>487000</v>
      </c>
      <c r="P25" s="36">
        <v>51165</v>
      </c>
      <c r="Q25" s="18"/>
      <c r="R25" s="35">
        <v>0</v>
      </c>
      <c r="S25" s="35"/>
      <c r="T25" s="37">
        <v>0.05</v>
      </c>
      <c r="U25" s="35">
        <f t="shared" si="0"/>
        <v>24350</v>
      </c>
      <c r="V25" s="22">
        <f t="shared" si="1"/>
        <v>462650</v>
      </c>
      <c r="W25" s="20">
        <v>497000</v>
      </c>
      <c r="X25" s="18">
        <v>20</v>
      </c>
      <c r="Y25" s="4">
        <v>45940</v>
      </c>
      <c r="Z25" s="9" t="s">
        <v>73</v>
      </c>
      <c r="AA25" s="35" t="s">
        <v>75</v>
      </c>
      <c r="AB25" s="68">
        <v>48313</v>
      </c>
      <c r="AC25" s="20">
        <v>48274</v>
      </c>
      <c r="AD25" s="34">
        <v>46441</v>
      </c>
      <c r="AE25" s="31">
        <v>46074</v>
      </c>
    </row>
    <row r="26" spans="1:31" s="3" customFormat="1" hidden="1" x14ac:dyDescent="0.25">
      <c r="A26" s="100">
        <v>25</v>
      </c>
      <c r="B26" s="174" t="s">
        <v>93</v>
      </c>
      <c r="C26" s="185">
        <v>39714</v>
      </c>
      <c r="D26" s="264"/>
      <c r="E26" s="202">
        <v>45648</v>
      </c>
      <c r="F26" s="203">
        <v>46012</v>
      </c>
      <c r="G26" s="18" t="s">
        <v>10</v>
      </c>
      <c r="H26" s="35" t="s">
        <v>11</v>
      </c>
      <c r="I26" s="22" t="s">
        <v>21</v>
      </c>
      <c r="J26" s="202">
        <v>45648</v>
      </c>
      <c r="K26" s="203">
        <v>46012</v>
      </c>
      <c r="L26" s="18" t="s">
        <v>25</v>
      </c>
      <c r="M26" s="22" t="s">
        <v>60</v>
      </c>
      <c r="N26" s="36">
        <v>39500</v>
      </c>
      <c r="O26" s="249">
        <v>810000</v>
      </c>
      <c r="P26" s="36">
        <v>50911</v>
      </c>
      <c r="Q26" s="18"/>
      <c r="R26" s="35">
        <v>0</v>
      </c>
      <c r="S26" s="35"/>
      <c r="T26" s="37">
        <v>0.05</v>
      </c>
      <c r="U26" s="35">
        <f t="shared" si="0"/>
        <v>40500</v>
      </c>
      <c r="V26" s="22">
        <f t="shared" si="1"/>
        <v>769500</v>
      </c>
      <c r="W26" s="20">
        <v>800000</v>
      </c>
      <c r="X26" s="18">
        <v>20</v>
      </c>
      <c r="Y26" s="4">
        <v>45940</v>
      </c>
      <c r="Z26" s="9" t="s">
        <v>73</v>
      </c>
      <c r="AA26" s="35" t="s">
        <v>75</v>
      </c>
      <c r="AB26" s="68">
        <v>48910</v>
      </c>
      <c r="AC26" s="20">
        <v>48058</v>
      </c>
      <c r="AD26" s="34">
        <v>46377</v>
      </c>
      <c r="AE26" s="31">
        <v>46010</v>
      </c>
    </row>
    <row r="27" spans="1:31" s="3" customFormat="1" hidden="1" x14ac:dyDescent="0.25">
      <c r="A27" s="100">
        <v>26</v>
      </c>
      <c r="B27" s="172" t="s">
        <v>92</v>
      </c>
      <c r="C27" s="183">
        <v>39638</v>
      </c>
      <c r="D27" s="262"/>
      <c r="E27" s="198">
        <v>45496</v>
      </c>
      <c r="F27" s="199">
        <v>45860</v>
      </c>
      <c r="G27" s="16" t="s">
        <v>16</v>
      </c>
      <c r="H27" s="1" t="s">
        <v>15</v>
      </c>
      <c r="I27" s="217" t="s">
        <v>21</v>
      </c>
      <c r="J27" s="233">
        <v>45496</v>
      </c>
      <c r="K27" s="232">
        <v>45860</v>
      </c>
      <c r="L27" s="16" t="s">
        <v>24</v>
      </c>
      <c r="M27" s="217" t="s">
        <v>40</v>
      </c>
      <c r="N27" s="14">
        <v>45500</v>
      </c>
      <c r="O27" s="247">
        <v>700000</v>
      </c>
      <c r="P27" s="14">
        <v>52372</v>
      </c>
      <c r="Q27" s="16"/>
      <c r="R27" s="1">
        <v>35</v>
      </c>
      <c r="S27" s="1"/>
      <c r="T27" s="8">
        <v>0.05</v>
      </c>
      <c r="U27" s="1">
        <f t="shared" si="0"/>
        <v>35000</v>
      </c>
      <c r="V27" s="22">
        <f t="shared" si="1"/>
        <v>665000</v>
      </c>
      <c r="W27" s="20"/>
      <c r="X27" s="18">
        <v>45</v>
      </c>
      <c r="Y27" s="4">
        <v>45940</v>
      </c>
      <c r="Z27" s="9" t="s">
        <v>73</v>
      </c>
      <c r="AA27" s="35" t="s">
        <v>75</v>
      </c>
      <c r="AB27" s="68">
        <v>48900</v>
      </c>
      <c r="AC27" s="20"/>
      <c r="AD27" s="28"/>
      <c r="AE27" s="335"/>
    </row>
    <row r="28" spans="1:31" s="3" customFormat="1" hidden="1" x14ac:dyDescent="0.25">
      <c r="A28" s="101">
        <v>27</v>
      </c>
      <c r="B28" s="174" t="s">
        <v>91</v>
      </c>
      <c r="C28" s="185">
        <v>39444</v>
      </c>
      <c r="D28" s="262"/>
      <c r="E28" s="202">
        <v>45693</v>
      </c>
      <c r="F28" s="203">
        <v>46057</v>
      </c>
      <c r="G28" s="18" t="s">
        <v>16</v>
      </c>
      <c r="H28" s="35" t="s">
        <v>11</v>
      </c>
      <c r="I28" s="22" t="s">
        <v>21</v>
      </c>
      <c r="J28" s="327">
        <v>45693</v>
      </c>
      <c r="K28" s="328">
        <v>46057</v>
      </c>
      <c r="L28" s="18" t="s">
        <v>25</v>
      </c>
      <c r="M28" s="22" t="s">
        <v>54</v>
      </c>
      <c r="N28" s="36">
        <v>39500</v>
      </c>
      <c r="O28" s="249">
        <v>530000</v>
      </c>
      <c r="P28" s="36">
        <v>50671</v>
      </c>
      <c r="Q28" s="18"/>
      <c r="R28" s="35">
        <v>0</v>
      </c>
      <c r="S28" s="35"/>
      <c r="T28" s="37">
        <v>0.05</v>
      </c>
      <c r="U28" s="35">
        <f t="shared" si="0"/>
        <v>26500</v>
      </c>
      <c r="V28" s="22">
        <f t="shared" si="1"/>
        <v>503500</v>
      </c>
      <c r="W28" s="20">
        <v>520000</v>
      </c>
      <c r="X28" s="18">
        <v>20</v>
      </c>
      <c r="Y28" s="4">
        <v>45940</v>
      </c>
      <c r="Z28" s="9" t="s">
        <v>73</v>
      </c>
      <c r="AA28" s="35" t="s">
        <v>75</v>
      </c>
      <c r="AB28" s="68">
        <v>48386</v>
      </c>
      <c r="AC28" s="20">
        <v>47645</v>
      </c>
      <c r="AD28" s="34">
        <v>46422</v>
      </c>
      <c r="AE28" s="31">
        <v>46055</v>
      </c>
    </row>
    <row r="29" spans="1:31" s="3" customFormat="1" hidden="1" x14ac:dyDescent="0.25">
      <c r="A29" s="100">
        <v>28</v>
      </c>
      <c r="B29" s="174" t="s">
        <v>90</v>
      </c>
      <c r="C29" s="183">
        <v>39413</v>
      </c>
      <c r="D29" s="262"/>
      <c r="E29" s="202">
        <v>45742</v>
      </c>
      <c r="F29" s="203">
        <v>46106</v>
      </c>
      <c r="G29" s="16" t="s">
        <v>16</v>
      </c>
      <c r="H29" s="1" t="s">
        <v>11</v>
      </c>
      <c r="I29" s="217" t="s">
        <v>12</v>
      </c>
      <c r="J29" s="226">
        <v>45742</v>
      </c>
      <c r="K29" s="228">
        <v>46106</v>
      </c>
      <c r="L29" s="16" t="s">
        <v>25</v>
      </c>
      <c r="M29" s="217" t="s">
        <v>52</v>
      </c>
      <c r="N29" s="14">
        <v>39500</v>
      </c>
      <c r="O29" s="247">
        <v>440000</v>
      </c>
      <c r="P29" s="14">
        <v>50968</v>
      </c>
      <c r="Q29" s="16"/>
      <c r="R29" s="1">
        <v>0</v>
      </c>
      <c r="S29" s="1"/>
      <c r="T29" s="8">
        <v>0.05</v>
      </c>
      <c r="U29" s="1">
        <f t="shared" si="0"/>
        <v>22000</v>
      </c>
      <c r="V29" s="22">
        <v>462650</v>
      </c>
      <c r="W29" s="20">
        <v>466000</v>
      </c>
      <c r="X29" s="18">
        <v>20</v>
      </c>
      <c r="Y29" s="4">
        <v>45940</v>
      </c>
      <c r="Z29" s="9" t="s">
        <v>73</v>
      </c>
      <c r="AA29" s="35" t="s">
        <v>75</v>
      </c>
      <c r="AB29" s="68">
        <v>48313</v>
      </c>
      <c r="AC29" s="20">
        <v>47965</v>
      </c>
      <c r="AD29" s="34">
        <v>46471</v>
      </c>
      <c r="AE29" s="31">
        <v>46104</v>
      </c>
    </row>
    <row r="30" spans="1:31" s="3" customFormat="1" hidden="1" x14ac:dyDescent="0.25">
      <c r="A30" s="100">
        <v>29</v>
      </c>
      <c r="B30" s="174" t="s">
        <v>89</v>
      </c>
      <c r="C30" s="183">
        <v>39413</v>
      </c>
      <c r="D30" s="262"/>
      <c r="E30" s="202">
        <v>45747</v>
      </c>
      <c r="F30" s="203">
        <v>46111</v>
      </c>
      <c r="G30" s="16" t="s">
        <v>16</v>
      </c>
      <c r="H30" s="1" t="s">
        <v>15</v>
      </c>
      <c r="I30" s="217" t="s">
        <v>12</v>
      </c>
      <c r="J30" s="226">
        <v>45747</v>
      </c>
      <c r="K30" s="228">
        <v>46111</v>
      </c>
      <c r="L30" s="16" t="s">
        <v>27</v>
      </c>
      <c r="M30" s="217" t="s">
        <v>53</v>
      </c>
      <c r="N30" s="14">
        <v>39500</v>
      </c>
      <c r="O30" s="247">
        <v>455000</v>
      </c>
      <c r="P30" s="14">
        <v>50724</v>
      </c>
      <c r="Q30" s="16"/>
      <c r="R30" s="1">
        <v>35</v>
      </c>
      <c r="S30" s="1"/>
      <c r="T30" s="8">
        <v>0.05</v>
      </c>
      <c r="U30" s="1">
        <f t="shared" si="0"/>
        <v>22750</v>
      </c>
      <c r="V30" s="22">
        <f t="shared" si="1"/>
        <v>432250</v>
      </c>
      <c r="W30" s="20">
        <v>466000</v>
      </c>
      <c r="X30" s="18">
        <v>45</v>
      </c>
      <c r="Y30" s="4">
        <v>45940</v>
      </c>
      <c r="Z30" s="9" t="s">
        <v>73</v>
      </c>
      <c r="AA30" s="35" t="s">
        <v>75</v>
      </c>
      <c r="AB30" s="68">
        <v>47775</v>
      </c>
      <c r="AC30" s="20">
        <v>47710</v>
      </c>
      <c r="AD30" s="34">
        <v>46476</v>
      </c>
      <c r="AE30" s="31">
        <v>46107</v>
      </c>
    </row>
    <row r="31" spans="1:31" s="3" customFormat="1" hidden="1" x14ac:dyDescent="0.25">
      <c r="A31" s="100">
        <v>30</v>
      </c>
      <c r="B31" s="174" t="s">
        <v>84</v>
      </c>
      <c r="C31" s="185">
        <v>38874</v>
      </c>
      <c r="D31" s="264"/>
      <c r="E31" s="202">
        <v>45629</v>
      </c>
      <c r="F31" s="203">
        <v>45993</v>
      </c>
      <c r="G31" s="18" t="s">
        <v>16</v>
      </c>
      <c r="H31" s="35" t="s">
        <v>15</v>
      </c>
      <c r="I31" s="22" t="s">
        <v>21</v>
      </c>
      <c r="J31" s="202">
        <v>45629</v>
      </c>
      <c r="K31" s="234">
        <v>45993</v>
      </c>
      <c r="L31" s="18" t="s">
        <v>30</v>
      </c>
      <c r="M31" s="240" t="s">
        <v>47</v>
      </c>
      <c r="N31" s="36">
        <v>40200</v>
      </c>
      <c r="O31" s="249">
        <v>700000</v>
      </c>
      <c r="P31" s="36">
        <v>53395</v>
      </c>
      <c r="Q31" s="18"/>
      <c r="R31" s="35">
        <v>25</v>
      </c>
      <c r="S31" s="35"/>
      <c r="T31" s="37">
        <v>0.05</v>
      </c>
      <c r="U31" s="35">
        <f t="shared" si="0"/>
        <v>35000</v>
      </c>
      <c r="V31" s="22">
        <f t="shared" si="1"/>
        <v>665000</v>
      </c>
      <c r="W31" s="20">
        <v>655000</v>
      </c>
      <c r="X31" s="18">
        <v>35</v>
      </c>
      <c r="Y31" s="4">
        <v>45940</v>
      </c>
      <c r="Z31" s="9" t="s">
        <v>73</v>
      </c>
      <c r="AA31" s="35" t="s">
        <v>75</v>
      </c>
      <c r="AB31" s="68">
        <v>48500</v>
      </c>
      <c r="AC31" s="20">
        <v>48621</v>
      </c>
      <c r="AD31" s="34">
        <v>46358</v>
      </c>
      <c r="AE31" s="31">
        <v>45990</v>
      </c>
    </row>
    <row r="32" spans="1:31" s="3" customFormat="1" hidden="1" x14ac:dyDescent="0.25">
      <c r="A32" s="100">
        <v>31</v>
      </c>
      <c r="B32" s="174" t="s">
        <v>88</v>
      </c>
      <c r="C32" s="185">
        <v>38651</v>
      </c>
      <c r="D32" s="264"/>
      <c r="E32" s="202">
        <v>45621</v>
      </c>
      <c r="F32" s="203">
        <v>45985</v>
      </c>
      <c r="G32" s="18" t="s">
        <v>16</v>
      </c>
      <c r="H32" s="35" t="s">
        <v>11</v>
      </c>
      <c r="I32" s="22" t="s">
        <v>12</v>
      </c>
      <c r="J32" s="202">
        <v>45621</v>
      </c>
      <c r="K32" s="203">
        <v>45985</v>
      </c>
      <c r="L32" s="18" t="s">
        <v>29</v>
      </c>
      <c r="M32" s="22" t="s">
        <v>42</v>
      </c>
      <c r="N32" s="36">
        <v>39500</v>
      </c>
      <c r="O32" s="249">
        <v>472532</v>
      </c>
      <c r="P32" s="36">
        <v>51141</v>
      </c>
      <c r="Q32" s="18"/>
      <c r="R32" s="35">
        <v>0</v>
      </c>
      <c r="S32" s="35"/>
      <c r="T32" s="37">
        <v>0.05</v>
      </c>
      <c r="U32" s="35">
        <f t="shared" si="0"/>
        <v>23626.600000000002</v>
      </c>
      <c r="V32" s="22">
        <v>462650</v>
      </c>
      <c r="W32" s="20">
        <v>462650</v>
      </c>
      <c r="X32" s="18">
        <v>20</v>
      </c>
      <c r="Y32" s="4">
        <v>45940</v>
      </c>
      <c r="Z32" s="9" t="s">
        <v>73</v>
      </c>
      <c r="AA32" s="35" t="s">
        <v>75</v>
      </c>
      <c r="AB32" s="68">
        <v>48313</v>
      </c>
      <c r="AC32" s="20">
        <v>48413</v>
      </c>
      <c r="AD32" s="34">
        <v>46350</v>
      </c>
      <c r="AE32" s="31">
        <v>45982</v>
      </c>
    </row>
    <row r="33" spans="1:32" hidden="1" x14ac:dyDescent="0.25">
      <c r="A33" s="101">
        <v>32</v>
      </c>
      <c r="B33" s="174" t="s">
        <v>87</v>
      </c>
      <c r="C33" s="183">
        <v>38390</v>
      </c>
      <c r="D33" s="262"/>
      <c r="E33" s="202">
        <v>45389</v>
      </c>
      <c r="F33" s="203">
        <v>45753</v>
      </c>
      <c r="G33" s="18" t="s">
        <v>20</v>
      </c>
      <c r="H33" s="35" t="s">
        <v>11</v>
      </c>
      <c r="I33" s="22" t="s">
        <v>21</v>
      </c>
      <c r="J33" s="202">
        <v>45754</v>
      </c>
      <c r="K33" s="203">
        <v>46118</v>
      </c>
      <c r="L33" s="18" t="s">
        <v>29</v>
      </c>
      <c r="M33" s="22" t="s">
        <v>256</v>
      </c>
      <c r="N33" s="36">
        <v>28000</v>
      </c>
      <c r="O33" s="249">
        <v>342000</v>
      </c>
      <c r="P33" s="36">
        <v>50413</v>
      </c>
      <c r="Q33" s="18"/>
      <c r="R33" s="35">
        <v>50</v>
      </c>
      <c r="S33" s="35"/>
      <c r="T33" s="37">
        <v>0.05</v>
      </c>
      <c r="U33" s="35">
        <f t="shared" si="0"/>
        <v>17100</v>
      </c>
      <c r="V33" s="22">
        <f t="shared" si="1"/>
        <v>324900</v>
      </c>
      <c r="W33" s="20">
        <v>342000</v>
      </c>
      <c r="X33" s="18">
        <v>50</v>
      </c>
      <c r="Y33" s="4">
        <v>45940</v>
      </c>
      <c r="Z33" s="9" t="s">
        <v>73</v>
      </c>
      <c r="AA33" s="35" t="s">
        <v>75</v>
      </c>
      <c r="AB33" s="68">
        <v>47035</v>
      </c>
      <c r="AC33" s="20">
        <v>47165</v>
      </c>
      <c r="AD33" s="345">
        <v>46483</v>
      </c>
      <c r="AE33" s="31">
        <v>46115</v>
      </c>
      <c r="AF33" s="3"/>
    </row>
    <row r="34" spans="1:32" s="3" customFormat="1" hidden="1" x14ac:dyDescent="0.25">
      <c r="A34" s="100">
        <v>33</v>
      </c>
      <c r="B34" s="172" t="s">
        <v>86</v>
      </c>
      <c r="C34" s="183">
        <v>38390</v>
      </c>
      <c r="D34" s="262"/>
      <c r="E34" s="198">
        <v>45687</v>
      </c>
      <c r="F34" s="199">
        <v>46051</v>
      </c>
      <c r="G34" s="16" t="s">
        <v>20</v>
      </c>
      <c r="H34" s="1" t="s">
        <v>11</v>
      </c>
      <c r="I34" s="217" t="s">
        <v>21</v>
      </c>
      <c r="J34" s="226">
        <v>45687</v>
      </c>
      <c r="K34" s="228">
        <v>46051</v>
      </c>
      <c r="L34" s="16" t="s">
        <v>25</v>
      </c>
      <c r="M34" s="217" t="s">
        <v>58</v>
      </c>
      <c r="N34" s="14">
        <v>28000</v>
      </c>
      <c r="O34" s="247">
        <v>453739</v>
      </c>
      <c r="P34" s="14">
        <v>50252</v>
      </c>
      <c r="Q34" s="16"/>
      <c r="R34" s="1">
        <v>0</v>
      </c>
      <c r="S34" s="1"/>
      <c r="T34" s="8">
        <v>0.05</v>
      </c>
      <c r="U34" s="1">
        <f t="shared" si="0"/>
        <v>22686.95</v>
      </c>
      <c r="V34" s="22">
        <f t="shared" si="1"/>
        <v>431052.05</v>
      </c>
      <c r="W34" s="20">
        <v>443739</v>
      </c>
      <c r="X34" s="18">
        <v>20</v>
      </c>
      <c r="Y34" s="4">
        <v>45940</v>
      </c>
      <c r="Z34" s="9" t="s">
        <v>73</v>
      </c>
      <c r="AA34" s="35" t="s">
        <v>75</v>
      </c>
      <c r="AB34" s="68">
        <v>47750</v>
      </c>
      <c r="AC34" s="20">
        <v>47994</v>
      </c>
      <c r="AD34" s="34">
        <v>46416</v>
      </c>
      <c r="AE34" s="31">
        <v>46049</v>
      </c>
    </row>
    <row r="35" spans="1:32" s="3" customFormat="1" ht="15.75" hidden="1" thickBot="1" x14ac:dyDescent="0.3">
      <c r="A35" s="102">
        <v>34</v>
      </c>
      <c r="B35" s="175" t="s">
        <v>85</v>
      </c>
      <c r="C35" s="186">
        <v>38251</v>
      </c>
      <c r="D35" s="265"/>
      <c r="E35" s="204">
        <v>45557</v>
      </c>
      <c r="F35" s="205">
        <v>45921</v>
      </c>
      <c r="G35" s="192" t="s">
        <v>20</v>
      </c>
      <c r="H35" s="57" t="s">
        <v>11</v>
      </c>
      <c r="I35" s="219" t="s">
        <v>21</v>
      </c>
      <c r="J35" s="235">
        <v>45557</v>
      </c>
      <c r="K35" s="236">
        <v>45921</v>
      </c>
      <c r="L35" s="192" t="s">
        <v>31</v>
      </c>
      <c r="M35" s="219" t="s">
        <v>46</v>
      </c>
      <c r="N35" s="59">
        <v>25000</v>
      </c>
      <c r="O35" s="250">
        <v>630000</v>
      </c>
      <c r="P35" s="59">
        <v>49499</v>
      </c>
      <c r="Q35" s="17"/>
      <c r="R35" s="10">
        <v>45</v>
      </c>
      <c r="S35" s="10"/>
      <c r="T35" s="11">
        <v>0.05</v>
      </c>
      <c r="U35" s="10">
        <f t="shared" si="0"/>
        <v>31500</v>
      </c>
      <c r="V35" s="23">
        <f t="shared" si="1"/>
        <v>598500</v>
      </c>
      <c r="W35" s="21"/>
      <c r="X35" s="19">
        <v>50</v>
      </c>
      <c r="Y35" s="12">
        <v>45940</v>
      </c>
      <c r="Z35" s="13" t="s">
        <v>73</v>
      </c>
      <c r="AA35" s="75" t="s">
        <v>75</v>
      </c>
      <c r="AB35" s="76">
        <v>47298</v>
      </c>
      <c r="AC35" s="21"/>
      <c r="AD35" s="30"/>
      <c r="AE35" s="337"/>
    </row>
    <row r="36" spans="1:32" s="3" customFormat="1" hidden="1" x14ac:dyDescent="0.25">
      <c r="A36" s="103">
        <v>35</v>
      </c>
      <c r="B36" s="176" t="s">
        <v>115</v>
      </c>
      <c r="C36" s="187">
        <v>42390</v>
      </c>
      <c r="D36" s="266"/>
      <c r="E36" s="206"/>
      <c r="F36" s="207"/>
      <c r="G36" s="96"/>
      <c r="H36" s="71"/>
      <c r="I36" s="220" t="s">
        <v>12</v>
      </c>
      <c r="J36" s="206">
        <v>46041</v>
      </c>
      <c r="K36" s="207">
        <v>46405</v>
      </c>
      <c r="L36" s="96" t="s">
        <v>124</v>
      </c>
      <c r="M36" s="241" t="s">
        <v>125</v>
      </c>
      <c r="N36" s="72">
        <v>45500</v>
      </c>
      <c r="O36" s="251"/>
      <c r="P36" s="72"/>
      <c r="Q36" s="79"/>
      <c r="R36" s="71"/>
      <c r="S36" s="71"/>
      <c r="T36" s="80"/>
      <c r="U36" s="71"/>
      <c r="V36" s="81"/>
      <c r="W36" s="65">
        <v>1500000</v>
      </c>
      <c r="X36" s="85"/>
      <c r="Y36" s="86"/>
      <c r="Z36" s="87"/>
      <c r="AA36" s="88"/>
      <c r="AB36" s="89"/>
      <c r="AC36" s="65">
        <v>51998</v>
      </c>
      <c r="AD36" s="77">
        <v>46405</v>
      </c>
      <c r="AE36" s="95">
        <v>46041</v>
      </c>
    </row>
    <row r="37" spans="1:32" s="3" customFormat="1" ht="15.75" hidden="1" thickBot="1" x14ac:dyDescent="0.3">
      <c r="A37" s="104">
        <v>35</v>
      </c>
      <c r="B37" s="177" t="s">
        <v>118</v>
      </c>
      <c r="C37" s="188">
        <v>42390</v>
      </c>
      <c r="D37" s="267"/>
      <c r="E37" s="208"/>
      <c r="F37" s="209"/>
      <c r="G37" s="97"/>
      <c r="H37" s="73"/>
      <c r="I37" s="180" t="s">
        <v>129</v>
      </c>
      <c r="J37" s="208">
        <v>45711</v>
      </c>
      <c r="K37" s="209">
        <v>46075</v>
      </c>
      <c r="L37" s="97" t="s">
        <v>130</v>
      </c>
      <c r="M37" s="242" t="s">
        <v>117</v>
      </c>
      <c r="N37" s="74">
        <v>45500</v>
      </c>
      <c r="O37" s="252">
        <v>1500000</v>
      </c>
      <c r="P37" s="74">
        <v>59631</v>
      </c>
      <c r="Q37" s="82"/>
      <c r="R37" s="73"/>
      <c r="S37" s="73"/>
      <c r="T37" s="83"/>
      <c r="U37" s="73"/>
      <c r="V37" s="84"/>
      <c r="W37" s="66"/>
      <c r="X37" s="90"/>
      <c r="Y37" s="91"/>
      <c r="Z37" s="92"/>
      <c r="AA37" s="93"/>
      <c r="AB37" s="94"/>
      <c r="AC37" s="66"/>
      <c r="AD37" s="78"/>
      <c r="AE37" s="338"/>
    </row>
    <row r="38" spans="1:32" s="3" customFormat="1" hidden="1" x14ac:dyDescent="0.25">
      <c r="A38" s="124">
        <v>36</v>
      </c>
      <c r="B38" s="178" t="s">
        <v>116</v>
      </c>
      <c r="C38" s="189">
        <v>46296</v>
      </c>
      <c r="D38" s="268"/>
      <c r="E38" s="210"/>
      <c r="F38" s="211"/>
      <c r="G38" s="127"/>
      <c r="H38" s="125"/>
      <c r="I38" s="221" t="s">
        <v>127</v>
      </c>
      <c r="J38" s="210">
        <v>45707</v>
      </c>
      <c r="K38" s="211">
        <v>46071</v>
      </c>
      <c r="L38" s="127" t="s">
        <v>30</v>
      </c>
      <c r="M38" s="243" t="s">
        <v>128</v>
      </c>
      <c r="N38" s="126">
        <v>45500</v>
      </c>
      <c r="O38" s="253">
        <v>1600000</v>
      </c>
      <c r="P38" s="126">
        <v>54240</v>
      </c>
      <c r="Q38" s="127"/>
      <c r="R38" s="125"/>
      <c r="S38" s="125"/>
      <c r="T38" s="128"/>
      <c r="U38" s="125"/>
      <c r="V38" s="129"/>
      <c r="W38" s="119">
        <v>1600000</v>
      </c>
      <c r="X38" s="135"/>
      <c r="Y38" s="136"/>
      <c r="Z38" s="137"/>
      <c r="AA38" s="138"/>
      <c r="AB38" s="139"/>
      <c r="AC38" s="119"/>
      <c r="AD38" s="340"/>
      <c r="AE38" s="120"/>
    </row>
    <row r="39" spans="1:32" s="3" customFormat="1" ht="15.75" hidden="1" thickBot="1" x14ac:dyDescent="0.3">
      <c r="A39" s="166">
        <v>36</v>
      </c>
      <c r="B39" s="179" t="s">
        <v>116</v>
      </c>
      <c r="C39" s="190">
        <v>46296</v>
      </c>
      <c r="D39" s="269"/>
      <c r="E39" s="212"/>
      <c r="F39" s="213"/>
      <c r="G39" s="193"/>
      <c r="H39" s="167"/>
      <c r="I39" s="222"/>
      <c r="J39" s="212">
        <v>46043</v>
      </c>
      <c r="K39" s="213">
        <v>46407</v>
      </c>
      <c r="L39" s="193" t="s">
        <v>124</v>
      </c>
      <c r="M39" s="244" t="s">
        <v>126</v>
      </c>
      <c r="N39" s="259">
        <v>45500</v>
      </c>
      <c r="O39" s="254"/>
      <c r="P39" s="131"/>
      <c r="Q39" s="132"/>
      <c r="R39" s="130"/>
      <c r="S39" s="130"/>
      <c r="T39" s="133"/>
      <c r="U39" s="130"/>
      <c r="V39" s="134"/>
      <c r="W39" s="121">
        <v>1600000</v>
      </c>
      <c r="X39" s="140"/>
      <c r="Y39" s="141"/>
      <c r="Z39" s="142"/>
      <c r="AA39" s="143"/>
      <c r="AB39" s="144"/>
      <c r="AC39" s="121">
        <v>52207</v>
      </c>
      <c r="AD39" s="122">
        <v>46407</v>
      </c>
      <c r="AE39" s="123">
        <v>46043</v>
      </c>
    </row>
    <row r="40" spans="1:32" s="3" customFormat="1" hidden="1" x14ac:dyDescent="0.25">
      <c r="A40" s="168">
        <v>37</v>
      </c>
      <c r="B40" s="176" t="s">
        <v>192</v>
      </c>
      <c r="C40" s="187"/>
      <c r="D40" s="266"/>
      <c r="E40" s="206"/>
      <c r="F40" s="207"/>
      <c r="G40" s="96"/>
      <c r="H40" s="71"/>
      <c r="I40" s="220"/>
      <c r="J40" s="206"/>
      <c r="K40" s="207"/>
      <c r="L40" s="96"/>
      <c r="M40" s="274"/>
      <c r="N40" s="72"/>
      <c r="O40" s="164"/>
      <c r="P40" s="107"/>
      <c r="Q40" s="108"/>
      <c r="R40" s="106"/>
      <c r="S40" s="106"/>
      <c r="T40" s="109"/>
      <c r="U40" s="106"/>
      <c r="V40" s="110"/>
      <c r="W40" s="111"/>
      <c r="X40" s="112"/>
      <c r="Y40" s="113"/>
      <c r="Z40" s="114"/>
      <c r="AA40" s="115"/>
      <c r="AB40" s="116"/>
      <c r="AC40" s="111"/>
      <c r="AD40" s="117"/>
      <c r="AE40" s="339"/>
    </row>
    <row r="41" spans="1:32" s="3" customFormat="1" ht="15.75" hidden="1" thickBot="1" x14ac:dyDescent="0.3">
      <c r="A41" s="169">
        <v>37</v>
      </c>
      <c r="B41" s="180" t="s">
        <v>119</v>
      </c>
      <c r="C41" s="188"/>
      <c r="D41" s="267"/>
      <c r="E41" s="208"/>
      <c r="F41" s="209"/>
      <c r="G41" s="97"/>
      <c r="H41" s="73"/>
      <c r="I41" s="180"/>
      <c r="J41" s="208"/>
      <c r="K41" s="209"/>
      <c r="L41" s="97"/>
      <c r="M41" s="275"/>
      <c r="N41" s="74"/>
      <c r="O41" s="165"/>
      <c r="P41" s="146"/>
      <c r="Q41" s="147"/>
      <c r="R41" s="145"/>
      <c r="S41" s="145"/>
      <c r="T41" s="148"/>
      <c r="U41" s="145"/>
      <c r="V41" s="149"/>
      <c r="W41" s="21"/>
      <c r="X41" s="150"/>
      <c r="Y41" s="151"/>
      <c r="Z41" s="152"/>
      <c r="AA41" s="153"/>
      <c r="AB41" s="154"/>
      <c r="AC41" s="21"/>
      <c r="AD41" s="30"/>
      <c r="AE41" s="337"/>
    </row>
    <row r="42" spans="1:32" s="3" customFormat="1" hidden="1" x14ac:dyDescent="0.25">
      <c r="A42" s="162">
        <v>38</v>
      </c>
      <c r="B42" s="220" t="s">
        <v>120</v>
      </c>
      <c r="C42" s="187">
        <v>42472</v>
      </c>
      <c r="D42" s="266" t="s">
        <v>133</v>
      </c>
      <c r="E42" s="206"/>
      <c r="F42" s="207"/>
      <c r="G42" s="96"/>
      <c r="H42" s="71"/>
      <c r="I42" s="220" t="s">
        <v>123</v>
      </c>
      <c r="J42" s="206">
        <v>45644</v>
      </c>
      <c r="K42" s="207">
        <v>46008</v>
      </c>
      <c r="L42" s="96" t="s">
        <v>121</v>
      </c>
      <c r="M42" s="274" t="s">
        <v>122</v>
      </c>
      <c r="N42" s="107">
        <v>45500</v>
      </c>
      <c r="O42" s="255">
        <v>1350000</v>
      </c>
      <c r="P42" s="163">
        <v>59766</v>
      </c>
      <c r="Q42" s="71"/>
      <c r="R42" s="71"/>
      <c r="S42" s="71"/>
      <c r="T42" s="80"/>
      <c r="U42" s="71"/>
      <c r="V42" s="88"/>
      <c r="W42" s="155"/>
      <c r="X42" s="88"/>
      <c r="Y42" s="86"/>
      <c r="Z42" s="87"/>
      <c r="AA42" s="88"/>
      <c r="AB42" s="277"/>
      <c r="AC42" s="155"/>
      <c r="AD42" s="342"/>
      <c r="AE42" s="341"/>
    </row>
    <row r="43" spans="1:32" s="3" customFormat="1" ht="15.75" hidden="1" thickBot="1" x14ac:dyDescent="0.3">
      <c r="A43" s="156">
        <v>38</v>
      </c>
      <c r="B43" s="84" t="s">
        <v>120</v>
      </c>
      <c r="C43" s="188">
        <v>42472</v>
      </c>
      <c r="D43" s="267" t="s">
        <v>133</v>
      </c>
      <c r="E43" s="208"/>
      <c r="F43" s="209"/>
      <c r="G43" s="97"/>
      <c r="H43" s="73"/>
      <c r="I43" s="180" t="s">
        <v>123</v>
      </c>
      <c r="J43" s="208">
        <v>46043</v>
      </c>
      <c r="K43" s="209">
        <v>46407</v>
      </c>
      <c r="L43" s="132" t="s">
        <v>124</v>
      </c>
      <c r="M43" s="276" t="s">
        <v>131</v>
      </c>
      <c r="N43" s="74">
        <v>45500</v>
      </c>
      <c r="O43" s="256"/>
      <c r="P43" s="157"/>
      <c r="Q43" s="73"/>
      <c r="R43" s="73"/>
      <c r="S43" s="73"/>
      <c r="T43" s="83"/>
      <c r="U43" s="73"/>
      <c r="V43" s="93"/>
      <c r="W43" s="158">
        <v>1600000</v>
      </c>
      <c r="X43" s="93"/>
      <c r="Y43" s="91"/>
      <c r="Z43" s="92"/>
      <c r="AA43" s="93"/>
      <c r="AB43" s="159"/>
      <c r="AC43" s="158">
        <v>52207</v>
      </c>
      <c r="AD43" s="160">
        <v>46407</v>
      </c>
      <c r="AE43" s="161">
        <v>46043</v>
      </c>
    </row>
    <row r="44" spans="1:32" s="3" customFormat="1" ht="15.75" hidden="1" thickBot="1" x14ac:dyDescent="0.3">
      <c r="A44" s="105"/>
      <c r="B44" s="181"/>
      <c r="C44" s="27"/>
      <c r="D44" s="181"/>
      <c r="E44" s="214"/>
      <c r="F44" s="215"/>
      <c r="G44" s="40"/>
      <c r="H44" s="38"/>
      <c r="I44" s="41"/>
      <c r="J44" s="237"/>
      <c r="K44" s="238"/>
      <c r="L44" s="40"/>
      <c r="M44" s="41"/>
      <c r="N44" s="260"/>
      <c r="O44" s="257">
        <f>SUM(O2:O43)</f>
        <v>43265305</v>
      </c>
      <c r="P44" s="60">
        <f>SUM(P2:P43)</f>
        <v>2004493</v>
      </c>
      <c r="Q44" s="40"/>
      <c r="R44" s="38"/>
      <c r="S44" s="38"/>
      <c r="T44" s="38"/>
      <c r="U44" s="41"/>
      <c r="V44" s="39">
        <f>SUM(V2:V43)</f>
        <v>36942934.349999994</v>
      </c>
      <c r="W44" s="42">
        <f>SUM(W2:W43)</f>
        <v>26780389</v>
      </c>
      <c r="X44" s="40"/>
      <c r="Y44" s="38"/>
      <c r="Z44" s="38"/>
      <c r="AA44" s="41"/>
      <c r="AB44" s="39">
        <f>SUM(AB2:AB43)</f>
        <v>1614834</v>
      </c>
      <c r="AC44" s="42">
        <f>SUM(AC2:AC43)</f>
        <v>1239917</v>
      </c>
      <c r="AD44" s="43"/>
      <c r="AE44" s="260"/>
    </row>
    <row r="45" spans="1:32" ht="15.75" hidden="1" thickBot="1" x14ac:dyDescent="0.3">
      <c r="O45" s="25">
        <f>V44-O44</f>
        <v>-6322370.650000006</v>
      </c>
      <c r="P45" s="25">
        <f>AB44-P44</f>
        <v>-389659</v>
      </c>
      <c r="V45" s="26">
        <f>W44-V44</f>
        <v>-10162545.349999994</v>
      </c>
      <c r="AB45" s="32">
        <f>AC44-AB44</f>
        <v>-374917</v>
      </c>
    </row>
  </sheetData>
  <autoFilter ref="A1:AE45" xr:uid="{00000000-0001-0000-0000-000000000000}">
    <filterColumn colId="10">
      <filters>
        <dateGroupItem year="2026" month="6" dateTimeGrouping="month"/>
      </filters>
    </filterColumn>
  </autoFilter>
  <pageMargins left="0.25" right="0.25" top="0.75" bottom="0.75" header="0.3" footer="0.3"/>
  <pageSetup paperSize="9" scale="6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0AEE5-0F2D-48B7-9D8B-0F1C3BD68252}">
  <dimension ref="A1:AE48"/>
  <sheetViews>
    <sheetView tabSelected="1" zoomScale="90" zoomScaleNormal="90" workbookViewId="0">
      <pane xSplit="3" ySplit="1" topLeftCell="P20" activePane="bottomRight" state="frozen"/>
      <selection pane="topRight" activeCell="D1" sqref="D1"/>
      <selection pane="bottomLeft" activeCell="A2" sqref="A2"/>
      <selection pane="bottomRight" activeCell="C26" sqref="C26"/>
    </sheetView>
  </sheetViews>
  <sheetFormatPr defaultRowHeight="15" x14ac:dyDescent="0.25"/>
  <cols>
    <col min="1" max="1" width="8.42578125" style="271" bestFit="1" customWidth="1"/>
    <col min="2" max="2" width="15.7109375" style="270" bestFit="1" customWidth="1"/>
    <col min="3" max="3" width="25.140625" style="270" bestFit="1" customWidth="1"/>
    <col min="4" max="4" width="33" style="270" bestFit="1" customWidth="1"/>
    <col min="5" max="5" width="26.85546875" style="270" bestFit="1" customWidth="1"/>
    <col min="6" max="6" width="24.42578125" bestFit="1" customWidth="1"/>
    <col min="7" max="7" width="23" style="270" bestFit="1" customWidth="1"/>
    <col min="8" max="8" width="21.140625" style="270" bestFit="1" customWidth="1"/>
    <col min="9" max="9" width="56.7109375" style="270" bestFit="1" customWidth="1"/>
    <col min="10" max="10" width="28" style="270" bestFit="1" customWidth="1"/>
    <col min="11" max="11" width="33.5703125" style="270" bestFit="1" customWidth="1"/>
    <col min="12" max="12" width="14.140625" style="273" bestFit="1" customWidth="1"/>
    <col min="13" max="13" width="29.5703125" style="273" bestFit="1" customWidth="1"/>
    <col min="14" max="14" width="14" style="273" bestFit="1" customWidth="1"/>
    <col min="15" max="15" width="20.42578125" style="273" bestFit="1" customWidth="1"/>
    <col min="16" max="16" width="15.5703125" style="273" bestFit="1" customWidth="1"/>
    <col min="17" max="18" width="9" style="273" bestFit="1" customWidth="1"/>
    <col min="19" max="19" width="9" style="273" customWidth="1"/>
    <col min="20" max="20" width="17.28515625" style="273" bestFit="1" customWidth="1"/>
    <col min="21" max="21" width="21.7109375" style="273" bestFit="1" customWidth="1"/>
    <col min="22" max="22" width="9" style="273" bestFit="1" customWidth="1"/>
    <col min="23" max="23" width="10.140625" style="273" bestFit="1" customWidth="1"/>
    <col min="24" max="24" width="9" style="273" bestFit="1" customWidth="1"/>
    <col min="25" max="25" width="9" style="273" customWidth="1"/>
    <col min="26" max="26" width="21" style="273" bestFit="1" customWidth="1"/>
    <col min="27" max="27" width="12.85546875" style="273" bestFit="1" customWidth="1"/>
    <col min="28" max="28" width="25.42578125" style="273" bestFit="1" customWidth="1"/>
    <col min="29" max="29" width="33.5703125" style="273" customWidth="1"/>
    <col min="30" max="30" width="25.85546875" style="273" bestFit="1" customWidth="1"/>
    <col min="31" max="31" width="25.42578125" style="273" bestFit="1" customWidth="1"/>
    <col min="32" max="16384" width="9.140625" style="270"/>
  </cols>
  <sheetData>
    <row r="1" spans="1:31" s="272" customFormat="1" x14ac:dyDescent="0.25">
      <c r="A1" s="292" t="s">
        <v>149</v>
      </c>
      <c r="B1" s="291" t="s">
        <v>148</v>
      </c>
      <c r="C1" s="291" t="s">
        <v>135</v>
      </c>
      <c r="D1" s="291" t="s">
        <v>134</v>
      </c>
      <c r="E1" s="291" t="s">
        <v>205</v>
      </c>
      <c r="F1" s="306" t="s">
        <v>206</v>
      </c>
      <c r="G1" s="291" t="s">
        <v>136</v>
      </c>
      <c r="H1" s="291" t="s">
        <v>137</v>
      </c>
      <c r="I1" s="291" t="s">
        <v>132</v>
      </c>
      <c r="J1" s="291" t="s">
        <v>138</v>
      </c>
      <c r="K1" s="291" t="s">
        <v>139</v>
      </c>
      <c r="L1" s="291" t="s">
        <v>140</v>
      </c>
      <c r="M1" s="291" t="s">
        <v>207</v>
      </c>
      <c r="N1" s="291" t="s">
        <v>234</v>
      </c>
      <c r="O1" s="291" t="s">
        <v>208</v>
      </c>
      <c r="P1" s="291" t="s">
        <v>218</v>
      </c>
      <c r="Q1" s="291" t="s">
        <v>209</v>
      </c>
      <c r="R1" s="291" t="s">
        <v>210</v>
      </c>
      <c r="S1" s="291" t="s">
        <v>211</v>
      </c>
      <c r="T1" s="291" t="s">
        <v>212</v>
      </c>
      <c r="U1" s="291" t="s">
        <v>217</v>
      </c>
      <c r="V1" s="291" t="s">
        <v>213</v>
      </c>
      <c r="W1" s="291" t="s">
        <v>235</v>
      </c>
      <c r="X1" s="291" t="s">
        <v>214</v>
      </c>
      <c r="Y1" s="291" t="s">
        <v>232</v>
      </c>
      <c r="Z1" s="291" t="s">
        <v>215</v>
      </c>
      <c r="AA1" s="291" t="s">
        <v>216</v>
      </c>
      <c r="AB1" s="307" t="s">
        <v>141</v>
      </c>
      <c r="AC1" s="291" t="s">
        <v>291</v>
      </c>
    </row>
    <row r="2" spans="1:31" x14ac:dyDescent="0.25">
      <c r="A2" s="287">
        <v>1</v>
      </c>
      <c r="B2" s="279">
        <v>45982</v>
      </c>
      <c r="C2" s="280" t="s">
        <v>88</v>
      </c>
      <c r="D2" s="280" t="s">
        <v>142</v>
      </c>
      <c r="E2" s="279">
        <v>45986</v>
      </c>
      <c r="F2" s="329">
        <v>46350</v>
      </c>
      <c r="G2" s="280" t="s">
        <v>143</v>
      </c>
      <c r="H2" s="280" t="s">
        <v>144</v>
      </c>
      <c r="I2" s="280" t="s">
        <v>145</v>
      </c>
      <c r="J2" s="280" t="s">
        <v>146</v>
      </c>
      <c r="K2" s="280" t="s">
        <v>147</v>
      </c>
      <c r="L2" s="282">
        <v>462650</v>
      </c>
      <c r="M2" s="282">
        <v>12000</v>
      </c>
      <c r="N2" s="282">
        <v>0</v>
      </c>
      <c r="O2" s="282">
        <f>Table1[[#This Row],[VEHICLE IDV]]+Table1[[#This Row],[ELECTRICAL ACCESSORIES IDV]]+Table1[[#This Row],[CNG KIT IDV]]</f>
        <v>474650</v>
      </c>
      <c r="P2" s="282">
        <v>1464</v>
      </c>
      <c r="Q2" s="282">
        <v>220</v>
      </c>
      <c r="R2" s="282">
        <v>480</v>
      </c>
      <c r="S2" s="282">
        <v>0</v>
      </c>
      <c r="T2" s="282">
        <v>-433</v>
      </c>
      <c r="U2" s="282">
        <f>SUM(Table1[[#This Row],[OD PREMIUM]:[No Claim Bonus]])</f>
        <v>1731</v>
      </c>
      <c r="V2" s="282">
        <v>50</v>
      </c>
      <c r="W2" s="282">
        <v>0</v>
      </c>
      <c r="X2" s="282">
        <v>50</v>
      </c>
      <c r="Y2" s="282">
        <v>0</v>
      </c>
      <c r="Z2" s="282">
        <v>44050</v>
      </c>
      <c r="AA2" s="290">
        <f>SUM(Table1[[#This Row],[TOTAL OD PREMIUM]:[IMT29]])*18%+Table1[[#This Row],[LIABILITY PREMIUM]]*5%</f>
        <v>2532.08</v>
      </c>
      <c r="AB2" s="288">
        <f>Table1[[#This Row],[TOTAL OD PREMIUM]]+Table1[[#This Row],[IMT17]]+Table1[[#This Row],[IMT252]]+Table1[[#This Row],[IMT28]]+Table1[[#This Row],[IMT29]]+Table1[[#This Row],[LIABILITY PREMIUM]]+Table1[[#This Row],[TOTAL GST]]</f>
        <v>48413.08</v>
      </c>
      <c r="AD2" s="270"/>
      <c r="AE2" s="270"/>
    </row>
    <row r="3" spans="1:31" x14ac:dyDescent="0.25">
      <c r="A3" s="287">
        <v>2</v>
      </c>
      <c r="B3" s="279">
        <v>45993</v>
      </c>
      <c r="C3" s="280" t="s">
        <v>84</v>
      </c>
      <c r="D3" s="280" t="s">
        <v>165</v>
      </c>
      <c r="E3" s="279">
        <v>45994</v>
      </c>
      <c r="F3" s="329">
        <v>46358</v>
      </c>
      <c r="G3" s="280" t="s">
        <v>166</v>
      </c>
      <c r="H3" s="280" t="s">
        <v>167</v>
      </c>
      <c r="I3" s="280" t="s">
        <v>168</v>
      </c>
      <c r="J3" s="280" t="s">
        <v>169</v>
      </c>
      <c r="K3" s="280" t="s">
        <v>185</v>
      </c>
      <c r="L3" s="282">
        <v>655000</v>
      </c>
      <c r="M3" s="282">
        <v>7000</v>
      </c>
      <c r="N3" s="282">
        <v>0</v>
      </c>
      <c r="O3" s="282">
        <f>Table1[[#This Row],[VEHICLE IDV]]+Table1[[#This Row],[ELECTRICAL ACCESSORIES IDV]]+Table1[[#This Row],[CNG KIT IDV]]</f>
        <v>662000</v>
      </c>
      <c r="P3" s="282">
        <v>1960</v>
      </c>
      <c r="Q3" s="282">
        <v>294</v>
      </c>
      <c r="R3" s="282">
        <v>280</v>
      </c>
      <c r="S3" s="282">
        <v>0</v>
      </c>
      <c r="T3" s="282">
        <v>-887</v>
      </c>
      <c r="U3" s="282">
        <f>SUM(Table1[[#This Row],[OD PREMIUM]:[No Claim Bonus]])</f>
        <v>1647</v>
      </c>
      <c r="V3" s="282">
        <v>50</v>
      </c>
      <c r="W3" s="282">
        <v>0</v>
      </c>
      <c r="X3" s="282">
        <v>50</v>
      </c>
      <c r="Y3" s="282">
        <v>0</v>
      </c>
      <c r="Z3" s="282">
        <v>44342</v>
      </c>
      <c r="AA3" s="290">
        <f>SUM(Table1[[#This Row],[TOTAL OD PREMIUM]:[IMT29]])*18%+Table1[[#This Row],[LIABILITY PREMIUM]]*5%</f>
        <v>2531.56</v>
      </c>
      <c r="AB3" s="288">
        <f>Table1[[#This Row],[TOTAL OD PREMIUM]]+Table1[[#This Row],[IMT17]]+Table1[[#This Row],[IMT252]]+Table1[[#This Row],[IMT28]]+Table1[[#This Row],[IMT29]]+Table1[[#This Row],[LIABILITY PREMIUM]]+Table1[[#This Row],[TOTAL GST]]</f>
        <v>48620.56</v>
      </c>
      <c r="AD3" s="270"/>
      <c r="AE3" s="270"/>
    </row>
    <row r="4" spans="1:31" x14ac:dyDescent="0.25">
      <c r="A4" s="287">
        <v>3</v>
      </c>
      <c r="B4" s="279">
        <v>46002</v>
      </c>
      <c r="C4" s="280" t="s">
        <v>79</v>
      </c>
      <c r="D4" s="280" t="s">
        <v>160</v>
      </c>
      <c r="E4" s="279">
        <v>46007</v>
      </c>
      <c r="F4" s="329">
        <v>46371</v>
      </c>
      <c r="G4" s="280" t="s">
        <v>161</v>
      </c>
      <c r="H4" s="280" t="s">
        <v>162</v>
      </c>
      <c r="I4" s="280" t="s">
        <v>163</v>
      </c>
      <c r="J4" s="280" t="s">
        <v>154</v>
      </c>
      <c r="K4" s="280" t="s">
        <v>164</v>
      </c>
      <c r="L4" s="282">
        <v>760000</v>
      </c>
      <c r="M4" s="282">
        <v>6000</v>
      </c>
      <c r="N4" s="282">
        <v>0</v>
      </c>
      <c r="O4" s="282">
        <f>Table1[[#This Row],[VEHICLE IDV]]+Table1[[#This Row],[ELECTRICAL ACCESSORIES IDV]]+Table1[[#This Row],[CNG KIT IDV]]</f>
        <v>766000</v>
      </c>
      <c r="P4" s="282">
        <v>2134</v>
      </c>
      <c r="Q4" s="282">
        <v>320</v>
      </c>
      <c r="R4" s="282">
        <v>240</v>
      </c>
      <c r="S4" s="282">
        <v>0</v>
      </c>
      <c r="T4" s="282">
        <v>-539</v>
      </c>
      <c r="U4" s="282">
        <f>SUM(Table1[[#This Row],[OD PREMIUM]:[No Claim Bonus]])</f>
        <v>2155</v>
      </c>
      <c r="V4" s="282">
        <v>50</v>
      </c>
      <c r="W4" s="282">
        <v>0</v>
      </c>
      <c r="X4" s="282">
        <v>50</v>
      </c>
      <c r="Y4" s="282">
        <v>0</v>
      </c>
      <c r="Z4" s="282">
        <v>43950</v>
      </c>
      <c r="AA4" s="290">
        <f>SUM(Table1[[#This Row],[TOTAL OD PREMIUM]:[IMT29]])*18%+Table1[[#This Row],[LIABILITY PREMIUM]]*5%</f>
        <v>2603.4</v>
      </c>
      <c r="AB4" s="288">
        <f>Table1[[#This Row],[TOTAL OD PREMIUM]]+Table1[[#This Row],[IMT17]]+Table1[[#This Row],[IMT252]]+Table1[[#This Row],[IMT28]]+Table1[[#This Row],[IMT29]]+Table1[[#This Row],[LIABILITY PREMIUM]]+Table1[[#This Row],[TOTAL GST]]</f>
        <v>48808.4</v>
      </c>
      <c r="AD4" s="270"/>
      <c r="AE4" s="270"/>
    </row>
    <row r="5" spans="1:31" x14ac:dyDescent="0.25">
      <c r="A5" s="287">
        <v>4</v>
      </c>
      <c r="B5" s="279">
        <v>46010</v>
      </c>
      <c r="C5" s="280" t="s">
        <v>95</v>
      </c>
      <c r="D5" s="280" t="s">
        <v>150</v>
      </c>
      <c r="E5" s="279">
        <v>46013</v>
      </c>
      <c r="F5" s="329">
        <v>46377</v>
      </c>
      <c r="G5" s="280" t="s">
        <v>151</v>
      </c>
      <c r="H5" s="280" t="s">
        <v>152</v>
      </c>
      <c r="I5" s="280" t="s">
        <v>153</v>
      </c>
      <c r="J5" s="280" t="s">
        <v>154</v>
      </c>
      <c r="K5" s="280" t="s">
        <v>155</v>
      </c>
      <c r="L5" s="282">
        <v>895000</v>
      </c>
      <c r="M5" s="282">
        <v>5000</v>
      </c>
      <c r="N5" s="282">
        <v>0</v>
      </c>
      <c r="O5" s="282">
        <f>Table1[[#This Row],[VEHICLE IDV]]+Table1[[#This Row],[ELECTRICAL ACCESSORIES IDV]]+Table1[[#This Row],[CNG KIT IDV]]</f>
        <v>900000</v>
      </c>
      <c r="P5" s="282">
        <v>2365</v>
      </c>
      <c r="Q5" s="282">
        <v>355</v>
      </c>
      <c r="R5" s="282">
        <v>200</v>
      </c>
      <c r="S5" s="282">
        <v>0</v>
      </c>
      <c r="T5" s="282">
        <v>-1022</v>
      </c>
      <c r="U5" s="282">
        <f>SUM(Table1[[#This Row],[OD PREMIUM]:[No Claim Bonus]])</f>
        <v>1898</v>
      </c>
      <c r="V5" s="282">
        <v>50</v>
      </c>
      <c r="W5" s="282">
        <v>0</v>
      </c>
      <c r="X5" s="282">
        <v>50</v>
      </c>
      <c r="Y5" s="282">
        <v>0</v>
      </c>
      <c r="Z5" s="282">
        <v>43950</v>
      </c>
      <c r="AA5" s="290">
        <f>SUM(Table1[[#This Row],[TOTAL OD PREMIUM]:[IMT29]])*18%+Table1[[#This Row],[LIABILITY PREMIUM]]*5%</f>
        <v>2557.14</v>
      </c>
      <c r="AB5" s="288">
        <f>Table1[[#This Row],[TOTAL OD PREMIUM]]+Table1[[#This Row],[IMT17]]+Table1[[#This Row],[IMT252]]+Table1[[#This Row],[IMT28]]+Table1[[#This Row],[IMT29]]+Table1[[#This Row],[LIABILITY PREMIUM]]+Table1[[#This Row],[TOTAL GST]]</f>
        <v>48505.14</v>
      </c>
      <c r="AD5" s="270"/>
      <c r="AE5" s="270"/>
    </row>
    <row r="6" spans="1:31" x14ac:dyDescent="0.25">
      <c r="A6" s="287">
        <v>5</v>
      </c>
      <c r="B6" s="279">
        <v>46010</v>
      </c>
      <c r="C6" s="280" t="s">
        <v>93</v>
      </c>
      <c r="D6" s="280" t="s">
        <v>156</v>
      </c>
      <c r="E6" s="279">
        <v>46013</v>
      </c>
      <c r="F6" s="329">
        <v>46377</v>
      </c>
      <c r="G6" s="280" t="s">
        <v>157</v>
      </c>
      <c r="H6" s="280" t="s">
        <v>158</v>
      </c>
      <c r="I6" s="280" t="s">
        <v>153</v>
      </c>
      <c r="J6" s="280" t="s">
        <v>154</v>
      </c>
      <c r="K6" s="280" t="s">
        <v>159</v>
      </c>
      <c r="L6" s="282">
        <v>800000</v>
      </c>
      <c r="M6" s="282">
        <v>10000</v>
      </c>
      <c r="N6" s="282">
        <v>0</v>
      </c>
      <c r="O6" s="282">
        <f>Table1[[#This Row],[VEHICLE IDV]]+Table1[[#This Row],[ELECTRICAL ACCESSORIES IDV]]+Table1[[#This Row],[CNG KIT IDV]]</f>
        <v>810000</v>
      </c>
      <c r="P6" s="282">
        <v>2207</v>
      </c>
      <c r="Q6" s="282">
        <v>331</v>
      </c>
      <c r="R6" s="282">
        <v>400</v>
      </c>
      <c r="S6" s="282">
        <v>0</v>
      </c>
      <c r="T6" s="282">
        <v>-1469</v>
      </c>
      <c r="U6" s="282">
        <f>SUM(Table1[[#This Row],[OD PREMIUM]:[No Claim Bonus]])</f>
        <v>1469</v>
      </c>
      <c r="V6" s="282">
        <v>100</v>
      </c>
      <c r="W6" s="282">
        <v>0</v>
      </c>
      <c r="X6" s="282">
        <v>50</v>
      </c>
      <c r="Y6" s="282">
        <v>0</v>
      </c>
      <c r="Z6" s="282">
        <v>43950</v>
      </c>
      <c r="AA6" s="290">
        <f>SUM(Table1[[#This Row],[TOTAL OD PREMIUM]:[IMT29]])*18%+Table1[[#This Row],[LIABILITY PREMIUM]]*5%</f>
        <v>2488.92</v>
      </c>
      <c r="AB6" s="288">
        <f>Table1[[#This Row],[TOTAL OD PREMIUM]]+Table1[[#This Row],[IMT17]]+Table1[[#This Row],[IMT252]]+Table1[[#This Row],[IMT28]]+Table1[[#This Row],[IMT29]]+Table1[[#This Row],[LIABILITY PREMIUM]]+Table1[[#This Row],[TOTAL GST]]</f>
        <v>48057.919999999998</v>
      </c>
      <c r="AD6" s="270"/>
      <c r="AE6" s="270"/>
    </row>
    <row r="7" spans="1:31" x14ac:dyDescent="0.25">
      <c r="A7" s="287">
        <v>6</v>
      </c>
      <c r="B7" s="279">
        <v>46022</v>
      </c>
      <c r="C7" s="280" t="s">
        <v>97</v>
      </c>
      <c r="D7" s="281" t="s">
        <v>150</v>
      </c>
      <c r="E7" s="279">
        <v>46025</v>
      </c>
      <c r="F7" s="329">
        <v>46389</v>
      </c>
      <c r="G7" s="284" t="s">
        <v>188</v>
      </c>
      <c r="H7" s="280" t="s">
        <v>189</v>
      </c>
      <c r="I7" s="280" t="s">
        <v>190</v>
      </c>
      <c r="J7" s="281" t="s">
        <v>154</v>
      </c>
      <c r="K7" s="281" t="s">
        <v>191</v>
      </c>
      <c r="L7" s="282">
        <v>790000</v>
      </c>
      <c r="M7" s="282">
        <v>10000</v>
      </c>
      <c r="N7" s="282">
        <v>0</v>
      </c>
      <c r="O7" s="282">
        <f>Table1[[#This Row],[VEHICLE IDV]]+Table1[[#This Row],[ELECTRICAL ACCESSORIES IDV]]+Table1[[#This Row],[CNG KIT IDV]]</f>
        <v>800000</v>
      </c>
      <c r="P7" s="282">
        <v>2189</v>
      </c>
      <c r="Q7" s="282">
        <v>328</v>
      </c>
      <c r="R7" s="282">
        <v>400</v>
      </c>
      <c r="S7" s="282">
        <v>0</v>
      </c>
      <c r="T7" s="282">
        <v>-1459</v>
      </c>
      <c r="U7" s="282">
        <f>SUM(Table1[[#This Row],[OD PREMIUM]:[No Claim Bonus]])</f>
        <v>1458</v>
      </c>
      <c r="V7" s="282">
        <v>50</v>
      </c>
      <c r="W7" s="282">
        <v>0</v>
      </c>
      <c r="X7" s="282">
        <v>100</v>
      </c>
      <c r="Y7" s="282">
        <v>0</v>
      </c>
      <c r="Z7" s="282">
        <v>43950</v>
      </c>
      <c r="AA7" s="290">
        <f>SUM(Table1[[#This Row],[TOTAL OD PREMIUM]:[IMT29]])*18%+Table1[[#This Row],[LIABILITY PREMIUM]]*5%</f>
        <v>2486.94</v>
      </c>
      <c r="AB7" s="288">
        <f>Table1[[#This Row],[TOTAL OD PREMIUM]]+Table1[[#This Row],[IMT17]]+Table1[[#This Row],[IMT252]]+Table1[[#This Row],[IMT28]]+Table1[[#This Row],[IMT29]]+Table1[[#This Row],[LIABILITY PREMIUM]]+Table1[[#This Row],[TOTAL GST]]</f>
        <v>48044.94</v>
      </c>
      <c r="AD7" s="270"/>
      <c r="AE7" s="270"/>
    </row>
    <row r="8" spans="1:31" x14ac:dyDescent="0.25">
      <c r="A8" s="287">
        <v>7</v>
      </c>
      <c r="B8" s="279">
        <v>46031</v>
      </c>
      <c r="C8" s="280" t="s">
        <v>99</v>
      </c>
      <c r="D8" s="280" t="s">
        <v>178</v>
      </c>
      <c r="E8" s="279">
        <v>46033</v>
      </c>
      <c r="F8" s="329">
        <v>46397</v>
      </c>
      <c r="G8" s="280" t="s">
        <v>179</v>
      </c>
      <c r="H8" s="280" t="s">
        <v>180</v>
      </c>
      <c r="I8" s="280" t="s">
        <v>181</v>
      </c>
      <c r="J8" s="280" t="s">
        <v>274</v>
      </c>
      <c r="K8" s="285" t="s">
        <v>186</v>
      </c>
      <c r="L8" s="282">
        <v>1070000</v>
      </c>
      <c r="M8" s="282">
        <v>10000</v>
      </c>
      <c r="N8" s="282">
        <v>0</v>
      </c>
      <c r="O8" s="282">
        <f>Table1[[#This Row],[VEHICLE IDV]]+Table1[[#This Row],[ELECTRICAL ACCESSORIES IDV]]+Table1[[#This Row],[CNG KIT IDV]]</f>
        <v>1080000</v>
      </c>
      <c r="P8" s="282">
        <v>2579</v>
      </c>
      <c r="Q8" s="282">
        <v>387</v>
      </c>
      <c r="R8" s="282">
        <v>400</v>
      </c>
      <c r="S8" s="282">
        <v>0</v>
      </c>
      <c r="T8" s="282">
        <v>-841</v>
      </c>
      <c r="U8" s="282">
        <f>SUM(Table1[[#This Row],[OD PREMIUM]:[No Claim Bonus]])</f>
        <v>2525</v>
      </c>
      <c r="V8" s="282">
        <v>50</v>
      </c>
      <c r="W8" s="282">
        <v>0</v>
      </c>
      <c r="X8" s="282">
        <v>50</v>
      </c>
      <c r="Y8" s="282">
        <v>0</v>
      </c>
      <c r="Z8" s="282">
        <v>43950</v>
      </c>
      <c r="AA8" s="290">
        <f>SUM(Table1[[#This Row],[TOTAL OD PREMIUM]:[IMT29]])*18%+Table1[[#This Row],[LIABILITY PREMIUM]]*5%</f>
        <v>2670</v>
      </c>
      <c r="AB8" s="288">
        <f>Table1[[#This Row],[TOTAL OD PREMIUM]]+Table1[[#This Row],[IMT17]]+Table1[[#This Row],[IMT252]]+Table1[[#This Row],[IMT28]]+Table1[[#This Row],[IMT29]]+Table1[[#This Row],[LIABILITY PREMIUM]]+Table1[[#This Row],[TOTAL GST]]</f>
        <v>49245</v>
      </c>
      <c r="AD8" s="270"/>
      <c r="AE8" s="270"/>
    </row>
    <row r="9" spans="1:31" x14ac:dyDescent="0.25">
      <c r="A9" s="287">
        <v>8</v>
      </c>
      <c r="B9" s="279">
        <v>46041</v>
      </c>
      <c r="C9" s="286" t="s">
        <v>115</v>
      </c>
      <c r="D9" s="280" t="s">
        <v>182</v>
      </c>
      <c r="E9" s="279">
        <v>46041</v>
      </c>
      <c r="F9" s="329">
        <v>46405</v>
      </c>
      <c r="G9" s="280" t="s">
        <v>183</v>
      </c>
      <c r="H9" s="280" t="s">
        <v>184</v>
      </c>
      <c r="I9" s="280" t="s">
        <v>133</v>
      </c>
      <c r="J9" s="280" t="s">
        <v>173</v>
      </c>
      <c r="K9" s="280" t="s">
        <v>187</v>
      </c>
      <c r="L9" s="282">
        <v>1500000</v>
      </c>
      <c r="M9" s="282">
        <v>10000</v>
      </c>
      <c r="N9" s="282">
        <v>0</v>
      </c>
      <c r="O9" s="282">
        <f>Table1[[#This Row],[VEHICLE IDV]]+Table1[[#This Row],[ELECTRICAL ACCESSORIES IDV]]+Table1[[#This Row],[CNG KIT IDV]]</f>
        <v>1510000</v>
      </c>
      <c r="P9" s="282">
        <v>3650</v>
      </c>
      <c r="Q9" s="282">
        <v>548</v>
      </c>
      <c r="R9" s="282">
        <v>400</v>
      </c>
      <c r="S9" s="282">
        <v>0</v>
      </c>
      <c r="T9" s="282">
        <v>0</v>
      </c>
      <c r="U9" s="282">
        <f>SUM(Table1[[#This Row],[OD PREMIUM]:[No Claim Bonus]])</f>
        <v>4598</v>
      </c>
      <c r="V9" s="282">
        <v>50</v>
      </c>
      <c r="W9" s="282">
        <v>0</v>
      </c>
      <c r="X9" s="282">
        <v>50</v>
      </c>
      <c r="Y9" s="282">
        <v>0</v>
      </c>
      <c r="Z9" s="282">
        <v>44242</v>
      </c>
      <c r="AA9" s="290">
        <f>SUM(Table1[[#This Row],[TOTAL OD PREMIUM]:[IMT29]])*18%+Table1[[#This Row],[LIABILITY PREMIUM]]*5%</f>
        <v>3057.74</v>
      </c>
      <c r="AB9" s="288">
        <f>Table1[[#This Row],[TOTAL OD PREMIUM]]+Table1[[#This Row],[IMT17]]+Table1[[#This Row],[IMT252]]+Table1[[#This Row],[IMT28]]+Table1[[#This Row],[IMT29]]+Table1[[#This Row],[LIABILITY PREMIUM]]+Table1[[#This Row],[TOTAL GST]]</f>
        <v>51997.74</v>
      </c>
      <c r="AD9" s="270"/>
      <c r="AE9" s="270"/>
    </row>
    <row r="10" spans="1:31" x14ac:dyDescent="0.25">
      <c r="A10" s="287">
        <v>9</v>
      </c>
      <c r="B10" s="279">
        <v>46043</v>
      </c>
      <c r="C10" s="286" t="s">
        <v>116</v>
      </c>
      <c r="D10" s="281" t="s">
        <v>126</v>
      </c>
      <c r="E10" s="279">
        <v>46043</v>
      </c>
      <c r="F10" s="329">
        <v>46407</v>
      </c>
      <c r="G10" s="281" t="s">
        <v>170</v>
      </c>
      <c r="H10" s="281" t="s">
        <v>171</v>
      </c>
      <c r="I10" s="281" t="s">
        <v>172</v>
      </c>
      <c r="J10" s="281" t="s">
        <v>173</v>
      </c>
      <c r="K10" s="281" t="s">
        <v>174</v>
      </c>
      <c r="L10" s="282">
        <v>1600000</v>
      </c>
      <c r="M10" s="282">
        <v>10000</v>
      </c>
      <c r="N10" s="282">
        <v>0</v>
      </c>
      <c r="O10" s="282">
        <f>Table1[[#This Row],[VEHICLE IDV]]+Table1[[#This Row],[ELECTRICAL ACCESSORIES IDV]]+Table1[[#This Row],[CNG KIT IDV]]</f>
        <v>1610000</v>
      </c>
      <c r="P10" s="282">
        <v>3804</v>
      </c>
      <c r="Q10" s="282">
        <v>571</v>
      </c>
      <c r="R10" s="282">
        <v>400</v>
      </c>
      <c r="S10" s="282">
        <v>0</v>
      </c>
      <c r="T10" s="282">
        <v>0</v>
      </c>
      <c r="U10" s="282">
        <f>SUM(Table1[[#This Row],[OD PREMIUM]:[No Claim Bonus]])</f>
        <v>4775</v>
      </c>
      <c r="V10" s="282">
        <v>50</v>
      </c>
      <c r="W10" s="282">
        <v>0</v>
      </c>
      <c r="X10" s="282">
        <v>50</v>
      </c>
      <c r="Y10" s="282">
        <v>0</v>
      </c>
      <c r="Z10" s="282">
        <v>44242</v>
      </c>
      <c r="AA10" s="290">
        <f>SUM(Table1[[#This Row],[TOTAL OD PREMIUM]:[IMT29]])*18%+Table1[[#This Row],[LIABILITY PREMIUM]]*5%</f>
        <v>3089.6</v>
      </c>
      <c r="AB10" s="288">
        <f>Table1[[#This Row],[TOTAL OD PREMIUM]]+Table1[[#This Row],[IMT17]]+Table1[[#This Row],[IMT252]]+Table1[[#This Row],[IMT28]]+Table1[[#This Row],[IMT29]]+Table1[[#This Row],[LIABILITY PREMIUM]]+Table1[[#This Row],[TOTAL GST]]</f>
        <v>52206.6</v>
      </c>
      <c r="AD10" s="270"/>
      <c r="AE10" s="270"/>
    </row>
    <row r="11" spans="1:31" x14ac:dyDescent="0.25">
      <c r="A11" s="287">
        <v>10</v>
      </c>
      <c r="B11" s="279">
        <v>46043</v>
      </c>
      <c r="C11" s="286" t="s">
        <v>120</v>
      </c>
      <c r="D11" s="280" t="s">
        <v>131</v>
      </c>
      <c r="E11" s="279">
        <v>46043</v>
      </c>
      <c r="F11" s="329">
        <v>46407</v>
      </c>
      <c r="G11" s="280" t="s">
        <v>175</v>
      </c>
      <c r="H11" s="280" t="s">
        <v>176</v>
      </c>
      <c r="I11" s="280" t="s">
        <v>133</v>
      </c>
      <c r="J11" s="280" t="s">
        <v>173</v>
      </c>
      <c r="K11" s="280" t="s">
        <v>177</v>
      </c>
      <c r="L11" s="282">
        <v>1600000</v>
      </c>
      <c r="M11" s="282">
        <v>10000</v>
      </c>
      <c r="N11" s="282">
        <v>0</v>
      </c>
      <c r="O11" s="282">
        <f>Table1[[#This Row],[VEHICLE IDV]]+Table1[[#This Row],[ELECTRICAL ACCESSORIES IDV]]+Table1[[#This Row],[CNG KIT IDV]]</f>
        <v>1610000</v>
      </c>
      <c r="P11" s="282">
        <v>3804</v>
      </c>
      <c r="Q11" s="282">
        <v>571</v>
      </c>
      <c r="R11" s="282">
        <v>400</v>
      </c>
      <c r="S11" s="282">
        <v>0</v>
      </c>
      <c r="T11" s="282">
        <v>0</v>
      </c>
      <c r="U11" s="282">
        <f>SUM(Table1[[#This Row],[OD PREMIUM]:[No Claim Bonus]])</f>
        <v>4775</v>
      </c>
      <c r="V11" s="282">
        <v>50</v>
      </c>
      <c r="W11" s="282">
        <v>0</v>
      </c>
      <c r="X11" s="282">
        <v>50</v>
      </c>
      <c r="Y11" s="282">
        <v>0</v>
      </c>
      <c r="Z11" s="282">
        <v>44242</v>
      </c>
      <c r="AA11" s="290">
        <f>SUM(Table1[[#This Row],[TOTAL OD PREMIUM]:[IMT29]])*18%+Table1[[#This Row],[LIABILITY PREMIUM]]*5%</f>
        <v>3089.6</v>
      </c>
      <c r="AB11" s="288">
        <f>Table1[[#This Row],[TOTAL OD PREMIUM]]+Table1[[#This Row],[IMT17]]+Table1[[#This Row],[IMT252]]+Table1[[#This Row],[IMT28]]+Table1[[#This Row],[IMT29]]+Table1[[#This Row],[LIABILITY PREMIUM]]+Table1[[#This Row],[TOTAL GST]]</f>
        <v>52206.6</v>
      </c>
      <c r="AD11" s="270"/>
      <c r="AE11" s="270"/>
    </row>
    <row r="12" spans="1:31" x14ac:dyDescent="0.25">
      <c r="A12" s="287">
        <v>11</v>
      </c>
      <c r="B12" s="321">
        <v>46045</v>
      </c>
      <c r="C12" s="322" t="s">
        <v>83</v>
      </c>
      <c r="D12" s="322" t="s">
        <v>194</v>
      </c>
      <c r="E12" s="321">
        <v>46043</v>
      </c>
      <c r="F12" s="323">
        <v>46411</v>
      </c>
      <c r="G12" s="322" t="s">
        <v>195</v>
      </c>
      <c r="H12" s="322" t="s">
        <v>196</v>
      </c>
      <c r="I12" s="286" t="s">
        <v>197</v>
      </c>
      <c r="J12" s="322" t="s">
        <v>198</v>
      </c>
      <c r="K12" s="322" t="s">
        <v>220</v>
      </c>
      <c r="L12" s="324">
        <v>1140000</v>
      </c>
      <c r="M12" s="324">
        <v>10000</v>
      </c>
      <c r="N12" s="324">
        <v>0</v>
      </c>
      <c r="O12" s="324">
        <f>Table1[[#This Row],[VEHICLE IDV]]+Table1[[#This Row],[ELECTRICAL ACCESSORIES IDV]]+Table1[[#This Row],[CNG KIT IDV]]</f>
        <v>1150000</v>
      </c>
      <c r="P12" s="324">
        <v>2687</v>
      </c>
      <c r="Q12" s="324">
        <v>430</v>
      </c>
      <c r="R12" s="324">
        <v>181</v>
      </c>
      <c r="S12" s="324">
        <v>0</v>
      </c>
      <c r="T12" s="324">
        <v>0</v>
      </c>
      <c r="U12" s="324">
        <f>SUM(Table1[[#This Row],[OD PREMIUM]:[No Claim Bonus]])</f>
        <v>3298</v>
      </c>
      <c r="V12" s="324">
        <v>60</v>
      </c>
      <c r="W12" s="324">
        <v>0</v>
      </c>
      <c r="X12" s="324">
        <v>50</v>
      </c>
      <c r="Y12" s="324">
        <v>0</v>
      </c>
      <c r="Z12" s="324">
        <v>43950</v>
      </c>
      <c r="AA12" s="325">
        <f>SUM(Table1[[#This Row],[TOTAL OD PREMIUM]:[IMT29]])*18%+Table1[[#This Row],[LIABILITY PREMIUM]]*5%</f>
        <v>2810.94</v>
      </c>
      <c r="AB12" s="326">
        <f>Table1[[#This Row],[TOTAL OD PREMIUM]]+Table1[[#This Row],[IMT17]]+Table1[[#This Row],[IMT252]]+Table1[[#This Row],[IMT28]]+Table1[[#This Row],[IMT29]]+Table1[[#This Row],[LIABILITY PREMIUM]]+Table1[[#This Row],[TOTAL GST]]</f>
        <v>50168.94</v>
      </c>
      <c r="AD12" s="270"/>
      <c r="AE12" s="270"/>
    </row>
    <row r="13" spans="1:31" x14ac:dyDescent="0.25">
      <c r="A13" s="287">
        <v>12</v>
      </c>
      <c r="B13" s="279">
        <v>46049</v>
      </c>
      <c r="C13" s="280" t="s">
        <v>86</v>
      </c>
      <c r="D13" s="280" t="s">
        <v>199</v>
      </c>
      <c r="E13" s="279">
        <v>46052</v>
      </c>
      <c r="F13" s="329">
        <v>46416</v>
      </c>
      <c r="G13" s="280" t="s">
        <v>200</v>
      </c>
      <c r="H13" s="280" t="s">
        <v>201</v>
      </c>
      <c r="I13" s="280" t="s">
        <v>202</v>
      </c>
      <c r="J13" s="280" t="s">
        <v>203</v>
      </c>
      <c r="K13" s="280" t="s">
        <v>204</v>
      </c>
      <c r="L13" s="282">
        <v>443739</v>
      </c>
      <c r="M13" s="282">
        <v>10000</v>
      </c>
      <c r="N13" s="282">
        <v>0</v>
      </c>
      <c r="O13" s="282">
        <f>Table1[[#This Row],[VEHICLE IDV]]+Table1[[#This Row],[ELECTRICAL ACCESSORIES IDV]]+Table1[[#This Row],[CNG KIT IDV]]</f>
        <v>453739</v>
      </c>
      <c r="P13" s="282">
        <v>1244</v>
      </c>
      <c r="Q13" s="282">
        <v>187</v>
      </c>
      <c r="R13" s="282">
        <v>400</v>
      </c>
      <c r="S13" s="282">
        <v>0</v>
      </c>
      <c r="T13" s="282">
        <v>-366</v>
      </c>
      <c r="U13" s="282">
        <f>SUM(Table1[[#This Row],[OD PREMIUM]:[No Claim Bonus]])</f>
        <v>1465</v>
      </c>
      <c r="V13" s="282">
        <v>50</v>
      </c>
      <c r="W13" s="282">
        <v>0</v>
      </c>
      <c r="X13" s="282">
        <v>50</v>
      </c>
      <c r="Y13" s="282">
        <v>0</v>
      </c>
      <c r="Z13" s="282">
        <v>43950</v>
      </c>
      <c r="AA13" s="290">
        <f>SUM(Table1[[#This Row],[TOTAL OD PREMIUM]:[IMT29]])*18%+Table1[[#This Row],[LIABILITY PREMIUM]]*5%</f>
        <v>2479.1999999999998</v>
      </c>
      <c r="AB13" s="288">
        <f>Table1[[#This Row],[TOTAL OD PREMIUM]]+Table1[[#This Row],[IMT17]]+Table1[[#This Row],[IMT252]]+Table1[[#This Row],[IMT28]]+Table1[[#This Row],[IMT29]]+Table1[[#This Row],[LIABILITY PREMIUM]]+Table1[[#This Row],[TOTAL GST]]</f>
        <v>47994.2</v>
      </c>
      <c r="AD13" s="270"/>
      <c r="AE13" s="270"/>
    </row>
    <row r="14" spans="1:31" x14ac:dyDescent="0.25">
      <c r="A14" s="287">
        <v>13</v>
      </c>
      <c r="B14" s="279">
        <v>46055</v>
      </c>
      <c r="C14" s="280" t="s">
        <v>91</v>
      </c>
      <c r="D14" s="280" t="s">
        <v>231</v>
      </c>
      <c r="E14" s="279">
        <v>46058</v>
      </c>
      <c r="F14" s="329">
        <v>46422</v>
      </c>
      <c r="G14" s="280" t="s">
        <v>224</v>
      </c>
      <c r="H14" s="280" t="s">
        <v>225</v>
      </c>
      <c r="I14" s="280" t="s">
        <v>153</v>
      </c>
      <c r="J14" s="280" t="s">
        <v>154</v>
      </c>
      <c r="K14" s="280" t="s">
        <v>226</v>
      </c>
      <c r="L14" s="282">
        <v>520000</v>
      </c>
      <c r="M14" s="282">
        <v>10000</v>
      </c>
      <c r="N14" s="282">
        <v>0</v>
      </c>
      <c r="O14" s="282">
        <f>Table1[[#This Row],[VEHICLE IDV]]+Table1[[#This Row],[ELECTRICAL ACCESSORIES IDV]]+Table1[[#This Row],[CNG KIT IDV]]</f>
        <v>530000</v>
      </c>
      <c r="P14" s="282">
        <v>1685</v>
      </c>
      <c r="Q14" s="282">
        <v>253</v>
      </c>
      <c r="R14" s="282">
        <v>400</v>
      </c>
      <c r="S14" s="282">
        <v>0</v>
      </c>
      <c r="T14" s="282">
        <v>-1169</v>
      </c>
      <c r="U14" s="282">
        <f>SUM(Table1[[#This Row],[OD PREMIUM]:[No Claim Bonus]])</f>
        <v>1169</v>
      </c>
      <c r="V14" s="282">
        <v>50</v>
      </c>
      <c r="W14" s="282">
        <v>0</v>
      </c>
      <c r="X14" s="282">
        <v>50</v>
      </c>
      <c r="Y14" s="282">
        <v>0</v>
      </c>
      <c r="Z14" s="282">
        <v>43950</v>
      </c>
      <c r="AA14" s="290">
        <f>SUM(Table1[[#This Row],[TOTAL OD PREMIUM]:[IMT29]])*18%+Table1[[#This Row],[LIABILITY PREMIUM]]*5%</f>
        <v>2425.92</v>
      </c>
      <c r="AB14" s="288">
        <f>Table1[[#This Row],[TOTAL OD PREMIUM]]+Table1[[#This Row],[IMT17]]+Table1[[#This Row],[IMT252]]+Table1[[#This Row],[IMT28]]+Table1[[#This Row],[IMT29]]+Table1[[#This Row],[LIABILITY PREMIUM]]+Table1[[#This Row],[TOTAL GST]]</f>
        <v>47644.92</v>
      </c>
      <c r="AD14" s="270"/>
      <c r="AE14" s="270"/>
    </row>
    <row r="15" spans="1:31" x14ac:dyDescent="0.25">
      <c r="A15" s="287">
        <v>14</v>
      </c>
      <c r="B15" s="321">
        <v>46059</v>
      </c>
      <c r="C15" s="322" t="s">
        <v>112</v>
      </c>
      <c r="D15" s="322" t="s">
        <v>233</v>
      </c>
      <c r="E15" s="321">
        <v>46060</v>
      </c>
      <c r="F15" s="323">
        <v>46424</v>
      </c>
      <c r="G15" s="322" t="s">
        <v>230</v>
      </c>
      <c r="H15" s="322" t="s">
        <v>229</v>
      </c>
      <c r="I15" s="322" t="s">
        <v>227</v>
      </c>
      <c r="J15" s="322" t="s">
        <v>154</v>
      </c>
      <c r="K15" s="322" t="s">
        <v>228</v>
      </c>
      <c r="L15" s="324">
        <v>2049000</v>
      </c>
      <c r="M15" s="324">
        <v>311000</v>
      </c>
      <c r="N15" s="324">
        <v>50000</v>
      </c>
      <c r="O15" s="324">
        <f>Table1[[#This Row],[VEHICLE IDV]]+Table1[[#This Row],[ELECTRICAL ACCESSORIES IDV]]+Table1[[#This Row],[CNG KIT IDV]]</f>
        <v>2410000</v>
      </c>
      <c r="P15" s="324">
        <f>3749+743</f>
        <v>4492</v>
      </c>
      <c r="Q15" s="324">
        <v>1059</v>
      </c>
      <c r="R15" s="324">
        <v>569</v>
      </c>
      <c r="S15" s="324">
        <v>2000</v>
      </c>
      <c r="T15" s="324">
        <v>-4060</v>
      </c>
      <c r="U15" s="324">
        <f>SUM(Table1[[#This Row],[OD PREMIUM]:[No Claim Bonus]])</f>
        <v>4060</v>
      </c>
      <c r="V15" s="324">
        <v>60</v>
      </c>
      <c r="W15" s="324">
        <v>60</v>
      </c>
      <c r="X15" s="324">
        <v>50</v>
      </c>
      <c r="Y15" s="324">
        <v>50</v>
      </c>
      <c r="Z15" s="324">
        <v>43950</v>
      </c>
      <c r="AA15" s="325">
        <f>SUM(Table1[[#This Row],[TOTAL OD PREMIUM]:[IMT29]])*18%+Table1[[#This Row],[LIABILITY PREMIUM]]*5%</f>
        <v>2967.9</v>
      </c>
      <c r="AB15" s="326">
        <f>Table1[[#This Row],[TOTAL OD PREMIUM]]+Table1[[#This Row],[IMT17]]+Table1[[#This Row],[IMT252]]+Table1[[#This Row],[IMT28]]+Table1[[#This Row],[IMT29]]+Table1[[#This Row],[LIABILITY PREMIUM]]+Table1[[#This Row],[TOTAL GST]]</f>
        <v>51197.9</v>
      </c>
      <c r="AD15" s="270"/>
      <c r="AE15" s="270"/>
    </row>
    <row r="16" spans="1:31" x14ac:dyDescent="0.25">
      <c r="A16" s="287">
        <v>15</v>
      </c>
      <c r="B16" s="279">
        <v>46074</v>
      </c>
      <c r="C16" s="280" t="s">
        <v>94</v>
      </c>
      <c r="D16" s="280" t="s">
        <v>236</v>
      </c>
      <c r="E16" s="279">
        <v>46077</v>
      </c>
      <c r="F16" s="329">
        <v>46441</v>
      </c>
      <c r="G16" s="280" t="s">
        <v>237</v>
      </c>
      <c r="H16" s="280" t="s">
        <v>238</v>
      </c>
      <c r="I16" s="280" t="s">
        <v>239</v>
      </c>
      <c r="J16" s="280" t="s">
        <v>240</v>
      </c>
      <c r="K16" s="280" t="s">
        <v>241</v>
      </c>
      <c r="L16" s="282">
        <v>487000</v>
      </c>
      <c r="M16" s="282">
        <v>10000</v>
      </c>
      <c r="N16" s="282">
        <v>0</v>
      </c>
      <c r="O16" s="282">
        <f>Table1[[#This Row],[VEHICLE IDV]]+Table1[[#This Row],[ELECTRICAL ACCESSORIES IDV]]</f>
        <v>497000</v>
      </c>
      <c r="P16" s="282">
        <v>1625</v>
      </c>
      <c r="Q16" s="282">
        <v>244</v>
      </c>
      <c r="R16" s="282">
        <v>400</v>
      </c>
      <c r="S16" s="282">
        <v>0</v>
      </c>
      <c r="T16" s="282">
        <v>-567</v>
      </c>
      <c r="U16" s="282">
        <f>SUM(Table1[[#This Row],[OD PREMIUM]:[No Claim Bonus]])</f>
        <v>1702</v>
      </c>
      <c r="V16" s="282">
        <v>50</v>
      </c>
      <c r="W16" s="282">
        <v>0</v>
      </c>
      <c r="X16" s="282">
        <v>50</v>
      </c>
      <c r="Y16" s="282">
        <v>0</v>
      </c>
      <c r="Z16" s="282">
        <v>43950</v>
      </c>
      <c r="AA16" s="290">
        <f>SUM(Table1[[#This Row],[TOTAL OD PREMIUM]:[IMT29]])*18%+Table1[[#This Row],[LIABILITY PREMIUM]]*5%</f>
        <v>2521.86</v>
      </c>
      <c r="AB16" s="288">
        <f>Table1[[#This Row],[TOTAL OD PREMIUM]]+Table1[[#This Row],[IMT17]]+Table1[[#This Row],[IMT252]]+Table1[[#This Row],[IMT28]]+Table1[[#This Row],[IMT29]]+Table1[[#This Row],[LIABILITY PREMIUM]]+Table1[[#This Row],[TOTAL GST]]</f>
        <v>48273.86</v>
      </c>
      <c r="AD16" s="270"/>
      <c r="AE16" s="270"/>
    </row>
    <row r="17" spans="1:31" x14ac:dyDescent="0.25">
      <c r="A17" s="287">
        <v>16</v>
      </c>
      <c r="B17" s="321">
        <v>46104</v>
      </c>
      <c r="C17" s="344" t="s">
        <v>107</v>
      </c>
      <c r="D17" s="322" t="s">
        <v>250</v>
      </c>
      <c r="E17" s="321">
        <v>46106</v>
      </c>
      <c r="F17" s="323">
        <v>46470</v>
      </c>
      <c r="G17" s="322" t="s">
        <v>242</v>
      </c>
      <c r="H17" s="322" t="s">
        <v>243</v>
      </c>
      <c r="I17" s="322" t="s">
        <v>244</v>
      </c>
      <c r="J17" s="322" t="s">
        <v>154</v>
      </c>
      <c r="K17" s="322" t="s">
        <v>251</v>
      </c>
      <c r="L17" s="324">
        <v>1368000</v>
      </c>
      <c r="M17" s="324">
        <v>10000</v>
      </c>
      <c r="N17" s="324">
        <v>0</v>
      </c>
      <c r="O17" s="324">
        <f>Table1[[#This Row],[VEHICLE IDV]]+Table1[[#This Row],[ELECTRICAL ACCESSORIES IDV]]</f>
        <v>1378000</v>
      </c>
      <c r="P17" s="324">
        <v>2637</v>
      </c>
      <c r="Q17" s="324">
        <v>396</v>
      </c>
      <c r="R17" s="324">
        <v>0</v>
      </c>
      <c r="S17" s="324">
        <v>3420</v>
      </c>
      <c r="T17" s="324">
        <v>0</v>
      </c>
      <c r="U17" s="324">
        <f>SUM(Table1[[#This Row],[OD PREMIUM]:[No Claim Bonus]])</f>
        <v>6453</v>
      </c>
      <c r="V17" s="324">
        <v>50</v>
      </c>
      <c r="W17" s="324">
        <v>0</v>
      </c>
      <c r="X17" s="324">
        <v>50</v>
      </c>
      <c r="Y17" s="324">
        <v>0</v>
      </c>
      <c r="Z17" s="324">
        <v>43950</v>
      </c>
      <c r="AA17" s="325">
        <f>SUM(Table1[[#This Row],[TOTAL OD PREMIUM]:[IMT29]])*18%+Table1[[#This Row],[LIABILITY PREMIUM]]*5%</f>
        <v>3377.04</v>
      </c>
      <c r="AB17" s="326">
        <f>Table1[[#This Row],[TOTAL OD PREMIUM]]+Table1[[#This Row],[IMT17]]+Table1[[#This Row],[IMT252]]+Table1[[#This Row],[IMT28]]+Table1[[#This Row],[IMT29]]+Table1[[#This Row],[LIABILITY PREMIUM]]+Table1[[#This Row],[TOTAL GST]]</f>
        <v>53880.04</v>
      </c>
      <c r="AD17" s="270"/>
      <c r="AE17" s="270"/>
    </row>
    <row r="18" spans="1:31" x14ac:dyDescent="0.25">
      <c r="A18" s="287">
        <v>17</v>
      </c>
      <c r="B18" s="279">
        <v>46104</v>
      </c>
      <c r="C18" s="293" t="s">
        <v>90</v>
      </c>
      <c r="D18" s="280" t="s">
        <v>247</v>
      </c>
      <c r="E18" s="279">
        <v>46107</v>
      </c>
      <c r="F18" s="329">
        <v>46471</v>
      </c>
      <c r="G18" s="280">
        <v>614459</v>
      </c>
      <c r="H18" s="280">
        <v>226468</v>
      </c>
      <c r="I18" s="280" t="s">
        <v>248</v>
      </c>
      <c r="J18" s="280" t="s">
        <v>275</v>
      </c>
      <c r="K18" s="280" t="s">
        <v>249</v>
      </c>
      <c r="L18" s="282">
        <v>466000</v>
      </c>
      <c r="M18" s="282">
        <v>10000</v>
      </c>
      <c r="N18" s="282">
        <v>0</v>
      </c>
      <c r="O18" s="282">
        <f>Table1[[#This Row],[VEHICLE IDV]]+Table1[[#This Row],[ELECTRICAL ACCESSORIES IDV]]</f>
        <v>476000</v>
      </c>
      <c r="P18" s="282">
        <v>1578</v>
      </c>
      <c r="Q18" s="282">
        <v>237</v>
      </c>
      <c r="R18" s="282">
        <v>400</v>
      </c>
      <c r="S18" s="282">
        <v>0</v>
      </c>
      <c r="T18" s="282">
        <v>-775</v>
      </c>
      <c r="U18" s="282">
        <f>SUM(Table1[[#This Row],[OD PREMIUM]:[No Claim Bonus]])</f>
        <v>1440</v>
      </c>
      <c r="V18" s="282">
        <v>0</v>
      </c>
      <c r="W18" s="282">
        <v>0</v>
      </c>
      <c r="X18" s="282">
        <v>100</v>
      </c>
      <c r="Y18" s="282">
        <v>0</v>
      </c>
      <c r="Z18" s="282">
        <v>43950</v>
      </c>
      <c r="AA18" s="290">
        <f>SUM(Table1[[#This Row],[TOTAL OD PREMIUM]:[IMT29]])*18%+Table1[[#This Row],[LIABILITY PREMIUM]]*5%</f>
        <v>2474.6999999999998</v>
      </c>
      <c r="AB18" s="288">
        <f>Table1[[#This Row],[TOTAL OD PREMIUM]]+Table1[[#This Row],[IMT17]]+Table1[[#This Row],[IMT252]]+Table1[[#This Row],[IMT28]]+Table1[[#This Row],[IMT29]]+Table1[[#This Row],[LIABILITY PREMIUM]]+Table1[[#This Row],[TOTAL GST]]</f>
        <v>47964.7</v>
      </c>
      <c r="AD18" s="270"/>
      <c r="AE18" s="270"/>
    </row>
    <row r="19" spans="1:31" x14ac:dyDescent="0.25">
      <c r="A19" s="287">
        <v>18</v>
      </c>
      <c r="B19" s="279">
        <v>46106</v>
      </c>
      <c r="C19" s="293" t="s">
        <v>105</v>
      </c>
      <c r="D19" s="280" t="s">
        <v>252</v>
      </c>
      <c r="E19" s="279">
        <v>46110</v>
      </c>
      <c r="F19" s="329">
        <v>46474</v>
      </c>
      <c r="G19" s="280" t="s">
        <v>245</v>
      </c>
      <c r="H19" s="280" t="s">
        <v>246</v>
      </c>
      <c r="I19" s="280" t="s">
        <v>133</v>
      </c>
      <c r="J19" s="280" t="s">
        <v>173</v>
      </c>
      <c r="K19" s="280" t="s">
        <v>253</v>
      </c>
      <c r="L19" s="282">
        <v>900000</v>
      </c>
      <c r="M19" s="282">
        <v>10000</v>
      </c>
      <c r="N19" s="282">
        <v>0</v>
      </c>
      <c r="O19" s="282">
        <f>Table1[[#This Row],[VEHICLE IDV]]+Table1[[#This Row],[ELECTRICAL ACCESSORIES IDV]]</f>
        <v>910000</v>
      </c>
      <c r="P19" s="282">
        <v>2552</v>
      </c>
      <c r="Q19" s="282">
        <v>383</v>
      </c>
      <c r="R19" s="282">
        <v>400</v>
      </c>
      <c r="S19" s="282">
        <v>0</v>
      </c>
      <c r="T19" s="282">
        <v>-1667</v>
      </c>
      <c r="U19" s="282">
        <f>SUM(Table1[[#This Row],[OD PREMIUM]:[No Claim Bonus]])</f>
        <v>1668</v>
      </c>
      <c r="V19" s="282">
        <v>0</v>
      </c>
      <c r="W19" s="282">
        <v>0</v>
      </c>
      <c r="X19" s="282">
        <v>100</v>
      </c>
      <c r="Y19" s="282">
        <v>0</v>
      </c>
      <c r="Z19" s="282">
        <v>44242</v>
      </c>
      <c r="AA19" s="290">
        <f>SUM(Table1[[#This Row],[TOTAL OD PREMIUM]:[IMT29]])*18%+Table1[[#This Row],[LIABILITY PREMIUM]]*5%</f>
        <v>2530.34</v>
      </c>
      <c r="AB19" s="288">
        <f>Table1[[#This Row],[TOTAL OD PREMIUM]]+Table1[[#This Row],[IMT17]]+Table1[[#This Row],[IMT252]]+Table1[[#This Row],[IMT28]]+Table1[[#This Row],[IMT29]]+Table1[[#This Row],[LIABILITY PREMIUM]]+Table1[[#This Row],[TOTAL GST]]</f>
        <v>48540.34</v>
      </c>
      <c r="AD19" s="270"/>
      <c r="AE19" s="270"/>
    </row>
    <row r="20" spans="1:31" x14ac:dyDescent="0.25">
      <c r="A20" s="287">
        <v>19</v>
      </c>
      <c r="B20" s="279">
        <v>46107</v>
      </c>
      <c r="C20" s="293" t="s">
        <v>89</v>
      </c>
      <c r="D20" s="280" t="s">
        <v>254</v>
      </c>
      <c r="E20" s="279">
        <v>46112</v>
      </c>
      <c r="F20" s="329">
        <v>46476</v>
      </c>
      <c r="G20" s="280">
        <v>614996</v>
      </c>
      <c r="H20" s="280">
        <v>226607</v>
      </c>
      <c r="I20" s="280" t="s">
        <v>255</v>
      </c>
      <c r="J20" s="280" t="s">
        <v>154</v>
      </c>
      <c r="K20" s="280" t="s">
        <v>249</v>
      </c>
      <c r="L20" s="282">
        <v>466000</v>
      </c>
      <c r="M20" s="282">
        <v>10000</v>
      </c>
      <c r="N20" s="282">
        <v>0</v>
      </c>
      <c r="O20" s="282">
        <f>Table1[[#This Row],[VEHICLE IDV]]+Table1[[#This Row],[ELECTRICAL ACCESSORIES IDV]]</f>
        <v>476000</v>
      </c>
      <c r="P20" s="282">
        <v>1587</v>
      </c>
      <c r="Q20" s="282">
        <v>238</v>
      </c>
      <c r="R20" s="282">
        <v>400</v>
      </c>
      <c r="S20" s="282">
        <v>0</v>
      </c>
      <c r="T20" s="282">
        <v>-1001</v>
      </c>
      <c r="U20" s="282">
        <f>SUM(Table1[[#This Row],[OD PREMIUM]:[No Claim Bonus]])</f>
        <v>1224</v>
      </c>
      <c r="V20" s="282">
        <v>0</v>
      </c>
      <c r="W20" s="282">
        <v>0</v>
      </c>
      <c r="X20" s="282">
        <v>100</v>
      </c>
      <c r="Y20" s="282">
        <v>0</v>
      </c>
      <c r="Z20" s="282">
        <v>43950</v>
      </c>
      <c r="AA20" s="290">
        <f>SUM(Table1[[#This Row],[TOTAL OD PREMIUM]:[IMT29]])*18%+Table1[[#This Row],[LIABILITY PREMIUM]]*5%</f>
        <v>2435.8200000000002</v>
      </c>
      <c r="AB20" s="288">
        <f>Table1[[#This Row],[TOTAL OD PREMIUM]]+Table1[[#This Row],[IMT17]]+Table1[[#This Row],[IMT252]]+Table1[[#This Row],[IMT28]]+Table1[[#This Row],[IMT29]]+Table1[[#This Row],[LIABILITY PREMIUM]]+Table1[[#This Row],[TOTAL GST]]</f>
        <v>47709.82</v>
      </c>
      <c r="AD20" s="270"/>
      <c r="AE20" s="270"/>
    </row>
    <row r="21" spans="1:31" x14ac:dyDescent="0.25">
      <c r="A21" s="287">
        <v>20</v>
      </c>
      <c r="B21" s="279">
        <v>46115</v>
      </c>
      <c r="C21" s="280" t="s">
        <v>87</v>
      </c>
      <c r="D21" s="280" t="s">
        <v>257</v>
      </c>
      <c r="E21" s="279">
        <v>46119</v>
      </c>
      <c r="F21" s="329">
        <v>46483</v>
      </c>
      <c r="G21" s="280" t="s">
        <v>258</v>
      </c>
      <c r="H21" s="280" t="s">
        <v>259</v>
      </c>
      <c r="I21" s="280" t="s">
        <v>260</v>
      </c>
      <c r="J21" s="280" t="s">
        <v>276</v>
      </c>
      <c r="K21" s="280" t="s">
        <v>204</v>
      </c>
      <c r="L21" s="282">
        <v>342000</v>
      </c>
      <c r="M21" s="282">
        <v>10000</v>
      </c>
      <c r="N21" s="282">
        <v>0</v>
      </c>
      <c r="O21" s="282">
        <f>Table1[[#This Row],[VEHICLE IDV]]+Table1[[#This Row],[ELECTRICAL ACCESSORIES IDV]]</f>
        <v>352000</v>
      </c>
      <c r="P21" s="282">
        <v>977</v>
      </c>
      <c r="Q21" s="282">
        <v>147</v>
      </c>
      <c r="R21" s="282">
        <v>400</v>
      </c>
      <c r="S21" s="282">
        <v>0</v>
      </c>
      <c r="T21" s="282">
        <v>-762</v>
      </c>
      <c r="U21" s="282">
        <f>SUM(Table1[[#This Row],[OD PREMIUM]:[No Claim Bonus]])</f>
        <v>762</v>
      </c>
      <c r="V21" s="282">
        <v>0</v>
      </c>
      <c r="W21" s="282">
        <v>0</v>
      </c>
      <c r="X21" s="282">
        <v>100</v>
      </c>
      <c r="Y21" s="282">
        <v>0</v>
      </c>
      <c r="Z21" s="282">
        <v>43950</v>
      </c>
      <c r="AA21" s="290">
        <f>SUM(Table1[[#This Row],[TOTAL OD PREMIUM]:[IMT29]])*18%+Table1[[#This Row],[LIABILITY PREMIUM]]*5%</f>
        <v>2352.66</v>
      </c>
      <c r="AB21" s="288">
        <f>Table1[[#This Row],[TOTAL OD PREMIUM]]+Table1[[#This Row],[IMT17]]+Table1[[#This Row],[IMT252]]+Table1[[#This Row],[IMT28]]+Table1[[#This Row],[IMT29]]+Table1[[#This Row],[LIABILITY PREMIUM]]+Table1[[#This Row],[TOTAL GST]]</f>
        <v>47164.66</v>
      </c>
      <c r="AD21" s="270"/>
      <c r="AE21" s="270"/>
    </row>
    <row r="22" spans="1:31" x14ac:dyDescent="0.25">
      <c r="A22" s="287">
        <v>21</v>
      </c>
      <c r="B22" s="279">
        <v>46127</v>
      </c>
      <c r="C22" s="280" t="s">
        <v>101</v>
      </c>
      <c r="D22" s="280" t="s">
        <v>261</v>
      </c>
      <c r="E22" s="279">
        <v>46128</v>
      </c>
      <c r="F22" s="329">
        <v>46492</v>
      </c>
      <c r="G22" s="280" t="s">
        <v>262</v>
      </c>
      <c r="H22" s="280" t="s">
        <v>263</v>
      </c>
      <c r="I22" s="280" t="s">
        <v>181</v>
      </c>
      <c r="J22" s="280" t="s">
        <v>274</v>
      </c>
      <c r="K22" s="280" t="s">
        <v>278</v>
      </c>
      <c r="L22" s="282">
        <v>1115000</v>
      </c>
      <c r="M22" s="282">
        <v>10000</v>
      </c>
      <c r="N22" s="282">
        <v>0</v>
      </c>
      <c r="O22" s="282">
        <f>Table1[[#This Row],[VEHICLE IDV]]+Table1[[#This Row],[ELECTRICAL ACCESSORIES IDV]]</f>
        <v>1125000</v>
      </c>
      <c r="P22" s="282">
        <v>2641</v>
      </c>
      <c r="Q22" s="282">
        <v>396</v>
      </c>
      <c r="R22" s="282">
        <v>400</v>
      </c>
      <c r="S22" s="282">
        <v>0</v>
      </c>
      <c r="T22" s="282">
        <v>-1203</v>
      </c>
      <c r="U22" s="282">
        <f>SUM(Table1[[#This Row],[OD PREMIUM]:[No Claim Bonus]])</f>
        <v>2234</v>
      </c>
      <c r="V22" s="282">
        <v>0</v>
      </c>
      <c r="W22" s="282">
        <v>0</v>
      </c>
      <c r="X22" s="282">
        <v>100</v>
      </c>
      <c r="Y22" s="282">
        <v>0</v>
      </c>
      <c r="Z22" s="282">
        <v>43950</v>
      </c>
      <c r="AA22" s="290">
        <f>SUM(Table1[[#This Row],[TOTAL OD PREMIUM]:[IMT29]])*18%+Table1[[#This Row],[LIABILITY PREMIUM]]*5%</f>
        <v>2617.62</v>
      </c>
      <c r="AB22" s="288">
        <f>Table1[[#This Row],[TOTAL OD PREMIUM]]+Table1[[#This Row],[IMT17]]+Table1[[#This Row],[IMT252]]+Table1[[#This Row],[IMT28]]+Table1[[#This Row],[IMT29]]+Table1[[#This Row],[LIABILITY PREMIUM]]+Table1[[#This Row],[TOTAL GST]]</f>
        <v>48901.62</v>
      </c>
      <c r="AD22" s="270"/>
      <c r="AE22" s="270"/>
    </row>
    <row r="23" spans="1:31" x14ac:dyDescent="0.25">
      <c r="A23" s="287">
        <v>22</v>
      </c>
      <c r="B23" s="279">
        <v>46135</v>
      </c>
      <c r="C23" s="322" t="s">
        <v>108</v>
      </c>
      <c r="D23" s="322" t="s">
        <v>264</v>
      </c>
      <c r="E23" s="279">
        <v>46137</v>
      </c>
      <c r="F23" s="329">
        <v>46501</v>
      </c>
      <c r="G23" s="280" t="s">
        <v>265</v>
      </c>
      <c r="H23" s="280" t="s">
        <v>266</v>
      </c>
      <c r="I23" s="280" t="s">
        <v>267</v>
      </c>
      <c r="J23" s="280" t="s">
        <v>268</v>
      </c>
      <c r="K23" s="280" t="s">
        <v>269</v>
      </c>
      <c r="L23" s="282">
        <v>1740000</v>
      </c>
      <c r="M23" s="282">
        <v>0</v>
      </c>
      <c r="N23" s="282">
        <v>0</v>
      </c>
      <c r="O23" s="282">
        <f>Table1[[#This Row],[VEHICLE IDV]]+Table1[[#This Row],[ELECTRICAL ACCESSORIES IDV]]</f>
        <v>1740000</v>
      </c>
      <c r="P23" s="282">
        <v>3733</v>
      </c>
      <c r="Q23" s="282">
        <v>0</v>
      </c>
      <c r="R23" s="282">
        <v>0</v>
      </c>
      <c r="S23" s="282">
        <v>0</v>
      </c>
      <c r="T23" s="282">
        <v>0</v>
      </c>
      <c r="U23" s="282">
        <f>SUM(Table1[[#This Row],[OD PREMIUM]:[No Claim Bonus]])</f>
        <v>3733</v>
      </c>
      <c r="V23" s="282">
        <v>315</v>
      </c>
      <c r="W23" s="282">
        <v>75</v>
      </c>
      <c r="X23" s="282">
        <v>75</v>
      </c>
      <c r="Y23" s="282">
        <v>0</v>
      </c>
      <c r="Z23" s="282">
        <v>44242</v>
      </c>
      <c r="AA23" s="290">
        <f>SUM(Table1[[#This Row],[TOTAL OD PREMIUM]:[IMT29]])*18%+Table1[[#This Row],[LIABILITY PREMIUM]]*5%</f>
        <v>2967.74</v>
      </c>
      <c r="AB23" s="288">
        <f>Table1[[#This Row],[TOTAL OD PREMIUM]]+Table1[[#This Row],[IMT17]]+Table1[[#This Row],[IMT252]]+Table1[[#This Row],[IMT28]]+Table1[[#This Row],[IMT29]]+Table1[[#This Row],[LIABILITY PREMIUM]]+Table1[[#This Row],[TOTAL GST]]</f>
        <v>51407.74</v>
      </c>
      <c r="AD23" s="270"/>
      <c r="AE23" s="270"/>
    </row>
    <row r="24" spans="1:31" x14ac:dyDescent="0.25">
      <c r="A24" s="287">
        <v>23</v>
      </c>
      <c r="B24" s="321">
        <v>46137</v>
      </c>
      <c r="C24" s="346" t="s">
        <v>102</v>
      </c>
      <c r="D24" s="322" t="s">
        <v>270</v>
      </c>
      <c r="E24" s="321">
        <v>46141</v>
      </c>
      <c r="F24" s="323">
        <v>46505</v>
      </c>
      <c r="G24" s="322" t="s">
        <v>271</v>
      </c>
      <c r="H24" s="322" t="s">
        <v>272</v>
      </c>
      <c r="I24" s="322" t="s">
        <v>273</v>
      </c>
      <c r="J24" s="322" t="s">
        <v>154</v>
      </c>
      <c r="K24" s="322" t="s">
        <v>277</v>
      </c>
      <c r="L24" s="324">
        <v>1080000</v>
      </c>
      <c r="M24" s="324">
        <v>10000</v>
      </c>
      <c r="N24" s="324">
        <v>0</v>
      </c>
      <c r="O24" s="324">
        <f>Table1[[#This Row],[VEHICLE IDV]]+Table1[[#This Row],[ELECTRICAL ACCESSORIES IDV]]</f>
        <v>1090000</v>
      </c>
      <c r="P24" s="324">
        <v>2719</v>
      </c>
      <c r="Q24" s="324">
        <v>408</v>
      </c>
      <c r="R24" s="324">
        <v>400</v>
      </c>
      <c r="S24" s="324">
        <v>0</v>
      </c>
      <c r="T24" s="324">
        <v>-882</v>
      </c>
      <c r="U24" s="324">
        <f>SUM(Table1[[#This Row],[OD PREMIUM]:[No Claim Bonus]])</f>
        <v>2645</v>
      </c>
      <c r="V24" s="324">
        <v>0</v>
      </c>
      <c r="W24" s="324">
        <v>0</v>
      </c>
      <c r="X24" s="324">
        <v>100</v>
      </c>
      <c r="Y24" s="324">
        <v>0</v>
      </c>
      <c r="Z24" s="324">
        <v>43950</v>
      </c>
      <c r="AA24" s="325">
        <f>SUM(Table1[[#This Row],[TOTAL OD PREMIUM]:[IMT29]])*18%+Table1[[#This Row],[LIABILITY PREMIUM]]*5%</f>
        <v>2691.6</v>
      </c>
      <c r="AB24" s="326">
        <f>Table1[[#This Row],[TOTAL OD PREMIUM]]+Table1[[#This Row],[IMT17]]+Table1[[#This Row],[IMT252]]+Table1[[#This Row],[IMT28]]+Table1[[#This Row],[IMT29]]+Table1[[#This Row],[LIABILITY PREMIUM]]+Table1[[#This Row],[TOTAL GST]]</f>
        <v>49386.6</v>
      </c>
      <c r="AC24" s="273" t="s">
        <v>290</v>
      </c>
      <c r="AD24" s="270"/>
      <c r="AE24" s="270"/>
    </row>
    <row r="25" spans="1:31" x14ac:dyDescent="0.25">
      <c r="A25" s="287">
        <v>24</v>
      </c>
      <c r="B25" s="321">
        <v>46155</v>
      </c>
      <c r="C25" s="347" t="s">
        <v>110</v>
      </c>
      <c r="D25" s="322" t="s">
        <v>279</v>
      </c>
      <c r="E25" s="321">
        <v>46159</v>
      </c>
      <c r="F25" s="323">
        <v>46523</v>
      </c>
      <c r="G25" s="322" t="s">
        <v>280</v>
      </c>
      <c r="H25" s="322" t="s">
        <v>281</v>
      </c>
      <c r="I25" s="322" t="s">
        <v>282</v>
      </c>
      <c r="J25" s="322" t="s">
        <v>288</v>
      </c>
      <c r="K25" s="322" t="s">
        <v>283</v>
      </c>
      <c r="L25" s="324">
        <v>1500000</v>
      </c>
      <c r="M25" s="324">
        <v>10000</v>
      </c>
      <c r="N25" s="324">
        <v>0</v>
      </c>
      <c r="O25" s="324">
        <f>Table1[[#This Row],[VEHICLE IDV]]+Table1[[#This Row],[ELECTRICAL ACCESSORIES IDV]]</f>
        <v>1510000</v>
      </c>
      <c r="P25" s="324">
        <v>3650</v>
      </c>
      <c r="Q25" s="324">
        <v>548</v>
      </c>
      <c r="R25" s="324">
        <v>400</v>
      </c>
      <c r="S25" s="324">
        <v>0</v>
      </c>
      <c r="T25" s="324">
        <v>0</v>
      </c>
      <c r="U25" s="324">
        <f>SUM(Table1[[#This Row],[OD PREMIUM]:[No Claim Bonus]])</f>
        <v>4598</v>
      </c>
      <c r="V25" s="324">
        <v>0</v>
      </c>
      <c r="W25" s="324">
        <v>0</v>
      </c>
      <c r="X25" s="324">
        <v>100</v>
      </c>
      <c r="Y25" s="324">
        <v>0</v>
      </c>
      <c r="Z25" s="324">
        <v>44242</v>
      </c>
      <c r="AA25" s="325">
        <f>SUM(Table1[[#This Row],[TOTAL OD PREMIUM]:[IMT29]])*18%+Table1[[#This Row],[LIABILITY PREMIUM]]*5%</f>
        <v>3057.74</v>
      </c>
      <c r="AB25" s="326">
        <f>Table1[[#This Row],[TOTAL OD PREMIUM]]+Table1[[#This Row],[IMT17]]+Table1[[#This Row],[IMT252]]+Table1[[#This Row],[IMT28]]+Table1[[#This Row],[IMT29]]+Table1[[#This Row],[LIABILITY PREMIUM]]+Table1[[#This Row],[TOTAL GST]]</f>
        <v>51997.74</v>
      </c>
      <c r="AC25" s="273" t="s">
        <v>290</v>
      </c>
      <c r="AD25" s="270"/>
      <c r="AE25" s="270"/>
    </row>
    <row r="26" spans="1:31" x14ac:dyDescent="0.25">
      <c r="A26" s="287">
        <v>25</v>
      </c>
      <c r="B26" s="321">
        <v>46174</v>
      </c>
      <c r="C26" s="347" t="s">
        <v>104</v>
      </c>
      <c r="D26" s="322" t="s">
        <v>284</v>
      </c>
      <c r="E26" s="321">
        <v>46175</v>
      </c>
      <c r="F26" s="323">
        <v>46539</v>
      </c>
      <c r="G26" s="322" t="s">
        <v>285</v>
      </c>
      <c r="H26" s="322" t="s">
        <v>286</v>
      </c>
      <c r="I26" s="322" t="s">
        <v>287</v>
      </c>
      <c r="J26" s="322" t="s">
        <v>288</v>
      </c>
      <c r="K26" s="322" t="s">
        <v>289</v>
      </c>
      <c r="L26" s="324">
        <v>1050000</v>
      </c>
      <c r="M26" s="324">
        <v>0</v>
      </c>
      <c r="N26" s="324">
        <v>0</v>
      </c>
      <c r="O26" s="324">
        <f>Table1[[#This Row],[VEHICLE IDV]]+Table1[[#This Row],[ELECTRICAL ACCESSORIES IDV]]</f>
        <v>1050000</v>
      </c>
      <c r="P26" s="324">
        <v>2827</v>
      </c>
      <c r="Q26" s="324">
        <v>424</v>
      </c>
      <c r="R26" s="324">
        <v>0</v>
      </c>
      <c r="S26" s="324">
        <v>2625</v>
      </c>
      <c r="T26" s="324">
        <v>-1625</v>
      </c>
      <c r="U26" s="324">
        <f>SUM(Table1[[#This Row],[OD PREMIUM]:[No Claim Bonus]])</f>
        <v>4251</v>
      </c>
      <c r="V26" s="324">
        <v>0</v>
      </c>
      <c r="W26" s="324">
        <v>0</v>
      </c>
      <c r="X26" s="324">
        <v>50</v>
      </c>
      <c r="Y26" s="324">
        <v>50</v>
      </c>
      <c r="Z26" s="324">
        <v>44242</v>
      </c>
      <c r="AA26" s="325">
        <f>SUM(Table1[[#This Row],[TOTAL OD PREMIUM]:[IMT29]])*18%+Table1[[#This Row],[LIABILITY PREMIUM]]*5%</f>
        <v>2995.2799999999997</v>
      </c>
      <c r="AB26" s="326">
        <f>Table1[[#This Row],[TOTAL OD PREMIUM]]+Table1[[#This Row],[IMT17]]+Table1[[#This Row],[IMT252]]+Table1[[#This Row],[IMT28]]+Table1[[#This Row],[IMT29]]+Table1[[#This Row],[LIABILITY PREMIUM]]+Table1[[#This Row],[TOTAL GST]]</f>
        <v>51588.28</v>
      </c>
      <c r="AD26" s="270"/>
      <c r="AE26" s="270"/>
    </row>
    <row r="27" spans="1:31" x14ac:dyDescent="0.25">
      <c r="A27" s="287">
        <v>26</v>
      </c>
      <c r="B27" s="279"/>
      <c r="C27" s="293" t="s">
        <v>106</v>
      </c>
      <c r="D27" s="280"/>
      <c r="E27" s="280"/>
      <c r="F27" s="281"/>
      <c r="G27" s="280"/>
      <c r="H27" s="280"/>
      <c r="I27" s="280"/>
      <c r="J27" s="280"/>
      <c r="K27" s="280"/>
      <c r="L27" s="282">
        <v>0</v>
      </c>
      <c r="M27" s="282">
        <v>0</v>
      </c>
      <c r="N27" s="282">
        <v>0</v>
      </c>
      <c r="O27" s="282">
        <f>Table1[[#This Row],[VEHICLE IDV]]+Table1[[#This Row],[ELECTRICAL ACCESSORIES IDV]]</f>
        <v>0</v>
      </c>
      <c r="P27" s="282">
        <v>0</v>
      </c>
      <c r="Q27" s="282">
        <v>0</v>
      </c>
      <c r="R27" s="282">
        <v>0</v>
      </c>
      <c r="S27" s="282">
        <v>0</v>
      </c>
      <c r="T27" s="282">
        <v>0</v>
      </c>
      <c r="U27" s="282">
        <f>SUM(Table1[[#This Row],[OD PREMIUM]:[No Claim Bonus]])</f>
        <v>0</v>
      </c>
      <c r="V27" s="282">
        <v>0</v>
      </c>
      <c r="W27" s="282">
        <v>0</v>
      </c>
      <c r="X27" s="282">
        <v>0</v>
      </c>
      <c r="Y27" s="282">
        <v>0</v>
      </c>
      <c r="Z27" s="282">
        <v>0</v>
      </c>
      <c r="AA27" s="290">
        <f>SUM(Table1[[#This Row],[TOTAL OD PREMIUM]:[IMT29]])*18%+Table1[[#This Row],[LIABILITY PREMIUM]]*5%</f>
        <v>0</v>
      </c>
      <c r="AB27" s="288">
        <f>Table1[[#This Row],[TOTAL OD PREMIUM]]+Table1[[#This Row],[IMT17]]+Table1[[#This Row],[IMT252]]+Table1[[#This Row],[IMT28]]+Table1[[#This Row],[IMT29]]+Table1[[#This Row],[LIABILITY PREMIUM]]+Table1[[#This Row],[TOTAL GST]]</f>
        <v>0</v>
      </c>
      <c r="AC27" s="273" t="s">
        <v>290</v>
      </c>
      <c r="AD27" s="270"/>
      <c r="AE27" s="270"/>
    </row>
    <row r="28" spans="1:31" x14ac:dyDescent="0.25">
      <c r="A28" s="287">
        <v>27</v>
      </c>
      <c r="B28" s="279"/>
      <c r="C28" s="280"/>
      <c r="D28" s="280"/>
      <c r="E28" s="280"/>
      <c r="F28" s="281"/>
      <c r="G28" s="280"/>
      <c r="H28" s="280"/>
      <c r="I28" s="280"/>
      <c r="J28" s="280"/>
      <c r="K28" s="280"/>
      <c r="L28" s="282">
        <v>0</v>
      </c>
      <c r="M28" s="282">
        <v>0</v>
      </c>
      <c r="N28" s="282">
        <v>0</v>
      </c>
      <c r="O28" s="282">
        <f>Table1[[#This Row],[VEHICLE IDV]]+Table1[[#This Row],[ELECTRICAL ACCESSORIES IDV]]</f>
        <v>0</v>
      </c>
      <c r="P28" s="282">
        <v>0</v>
      </c>
      <c r="Q28" s="282">
        <v>0</v>
      </c>
      <c r="R28" s="282">
        <v>0</v>
      </c>
      <c r="S28" s="282">
        <v>0</v>
      </c>
      <c r="T28" s="282">
        <v>0</v>
      </c>
      <c r="U28" s="282">
        <f>SUM(Table1[[#This Row],[OD PREMIUM]:[No Claim Bonus]])</f>
        <v>0</v>
      </c>
      <c r="V28" s="282">
        <v>0</v>
      </c>
      <c r="W28" s="282">
        <v>0</v>
      </c>
      <c r="X28" s="282">
        <v>0</v>
      </c>
      <c r="Y28" s="282">
        <v>0</v>
      </c>
      <c r="Z28" s="282">
        <v>0</v>
      </c>
      <c r="AA28" s="290">
        <f>SUM(Table1[[#This Row],[TOTAL OD PREMIUM]:[IMT29]])*18%+Table1[[#This Row],[LIABILITY PREMIUM]]*5%</f>
        <v>0</v>
      </c>
      <c r="AB28" s="288">
        <f>Table1[[#This Row],[TOTAL OD PREMIUM]]+Table1[[#This Row],[IMT17]]+Table1[[#This Row],[IMT252]]+Table1[[#This Row],[IMT28]]+Table1[[#This Row],[IMT29]]+Table1[[#This Row],[LIABILITY PREMIUM]]+Table1[[#This Row],[TOTAL GST]]</f>
        <v>0</v>
      </c>
      <c r="AD28" s="270"/>
      <c r="AE28" s="270"/>
    </row>
    <row r="29" spans="1:31" x14ac:dyDescent="0.25">
      <c r="A29" s="287">
        <v>28</v>
      </c>
      <c r="B29" s="279"/>
      <c r="C29" s="280"/>
      <c r="D29" s="280"/>
      <c r="E29" s="280"/>
      <c r="F29" s="281"/>
      <c r="G29" s="280"/>
      <c r="H29" s="280"/>
      <c r="I29" s="280"/>
      <c r="J29" s="280"/>
      <c r="K29" s="280"/>
      <c r="L29" s="282">
        <v>0</v>
      </c>
      <c r="M29" s="282">
        <v>0</v>
      </c>
      <c r="N29" s="282">
        <v>0</v>
      </c>
      <c r="O29" s="282">
        <f>Table1[[#This Row],[VEHICLE IDV]]+Table1[[#This Row],[ELECTRICAL ACCESSORIES IDV]]</f>
        <v>0</v>
      </c>
      <c r="P29" s="282">
        <v>0</v>
      </c>
      <c r="Q29" s="282">
        <v>0</v>
      </c>
      <c r="R29" s="282">
        <v>0</v>
      </c>
      <c r="S29" s="282">
        <v>0</v>
      </c>
      <c r="T29" s="282">
        <v>0</v>
      </c>
      <c r="U29" s="282">
        <f>SUM(Table1[[#This Row],[OD PREMIUM]:[No Claim Bonus]])</f>
        <v>0</v>
      </c>
      <c r="V29" s="282">
        <v>0</v>
      </c>
      <c r="W29" s="282">
        <v>0</v>
      </c>
      <c r="X29" s="282">
        <v>0</v>
      </c>
      <c r="Y29" s="282">
        <v>0</v>
      </c>
      <c r="Z29" s="282">
        <v>0</v>
      </c>
      <c r="AA29" s="290">
        <f>SUM(Table1[[#This Row],[TOTAL OD PREMIUM]:[IMT29]])*18%+Table1[[#This Row],[LIABILITY PREMIUM]]*5%</f>
        <v>0</v>
      </c>
      <c r="AB29" s="288">
        <f>Table1[[#This Row],[TOTAL OD PREMIUM]]+Table1[[#This Row],[IMT17]]+Table1[[#This Row],[IMT252]]+Table1[[#This Row],[IMT28]]+Table1[[#This Row],[IMT29]]+Table1[[#This Row],[LIABILITY PREMIUM]]+Table1[[#This Row],[TOTAL GST]]</f>
        <v>0</v>
      </c>
      <c r="AD29" s="270"/>
      <c r="AE29" s="270"/>
    </row>
    <row r="30" spans="1:31" x14ac:dyDescent="0.25">
      <c r="A30" s="287">
        <v>29</v>
      </c>
      <c r="B30" s="279"/>
      <c r="C30" s="280"/>
      <c r="D30" s="280"/>
      <c r="E30" s="280"/>
      <c r="F30" s="281"/>
      <c r="G30" s="280"/>
      <c r="H30" s="280"/>
      <c r="I30" s="280"/>
      <c r="J30" s="280"/>
      <c r="K30" s="280"/>
      <c r="L30" s="282">
        <v>0</v>
      </c>
      <c r="M30" s="282">
        <v>0</v>
      </c>
      <c r="N30" s="282">
        <v>0</v>
      </c>
      <c r="O30" s="282">
        <f>Table1[[#This Row],[VEHICLE IDV]]+Table1[[#This Row],[ELECTRICAL ACCESSORIES IDV]]</f>
        <v>0</v>
      </c>
      <c r="P30" s="282">
        <v>0</v>
      </c>
      <c r="Q30" s="282">
        <v>0</v>
      </c>
      <c r="R30" s="282">
        <v>0</v>
      </c>
      <c r="S30" s="282">
        <v>0</v>
      </c>
      <c r="T30" s="282">
        <v>0</v>
      </c>
      <c r="U30" s="282">
        <f>SUM(Table1[[#This Row],[OD PREMIUM]:[No Claim Bonus]])</f>
        <v>0</v>
      </c>
      <c r="V30" s="282">
        <v>0</v>
      </c>
      <c r="W30" s="282">
        <v>0</v>
      </c>
      <c r="X30" s="282">
        <v>0</v>
      </c>
      <c r="Y30" s="282">
        <v>0</v>
      </c>
      <c r="Z30" s="282">
        <v>0</v>
      </c>
      <c r="AA30" s="290">
        <f>SUM(Table1[[#This Row],[TOTAL OD PREMIUM]:[IMT29]])*18%+Table1[[#This Row],[LIABILITY PREMIUM]]*5%</f>
        <v>0</v>
      </c>
      <c r="AB30" s="288">
        <f>Table1[[#This Row],[TOTAL OD PREMIUM]]+Table1[[#This Row],[IMT17]]+Table1[[#This Row],[IMT252]]+Table1[[#This Row],[IMT28]]+Table1[[#This Row],[IMT29]]+Table1[[#This Row],[LIABILITY PREMIUM]]+Table1[[#This Row],[TOTAL GST]]</f>
        <v>0</v>
      </c>
      <c r="AD30" s="270"/>
      <c r="AE30" s="270"/>
    </row>
    <row r="31" spans="1:31" x14ac:dyDescent="0.25">
      <c r="A31" s="287">
        <v>30</v>
      </c>
      <c r="B31" s="279"/>
      <c r="C31" s="280"/>
      <c r="D31" s="280"/>
      <c r="E31" s="280"/>
      <c r="F31" s="281"/>
      <c r="G31" s="280"/>
      <c r="H31" s="280"/>
      <c r="I31" s="280"/>
      <c r="J31" s="280"/>
      <c r="K31" s="280"/>
      <c r="L31" s="282">
        <v>0</v>
      </c>
      <c r="M31" s="282">
        <v>0</v>
      </c>
      <c r="N31" s="282">
        <v>0</v>
      </c>
      <c r="O31" s="282">
        <f>Table1[[#This Row],[VEHICLE IDV]]+Table1[[#This Row],[ELECTRICAL ACCESSORIES IDV]]</f>
        <v>0</v>
      </c>
      <c r="P31" s="282">
        <v>0</v>
      </c>
      <c r="Q31" s="282">
        <v>0</v>
      </c>
      <c r="R31" s="282">
        <v>0</v>
      </c>
      <c r="S31" s="282">
        <v>0</v>
      </c>
      <c r="T31" s="282">
        <v>0</v>
      </c>
      <c r="U31" s="282">
        <f>SUM(Table1[[#This Row],[OD PREMIUM]:[No Claim Bonus]])</f>
        <v>0</v>
      </c>
      <c r="V31" s="282">
        <v>0</v>
      </c>
      <c r="W31" s="282">
        <v>0</v>
      </c>
      <c r="X31" s="282">
        <v>0</v>
      </c>
      <c r="Y31" s="282">
        <v>0</v>
      </c>
      <c r="Z31" s="282">
        <v>0</v>
      </c>
      <c r="AA31" s="290">
        <f>SUM(Table1[[#This Row],[TOTAL OD PREMIUM]:[IMT29]])*18%+Table1[[#This Row],[LIABILITY PREMIUM]]*5%</f>
        <v>0</v>
      </c>
      <c r="AB31" s="288">
        <f>Table1[[#This Row],[TOTAL OD PREMIUM]]+Table1[[#This Row],[IMT17]]+Table1[[#This Row],[IMT252]]+Table1[[#This Row],[IMT28]]+Table1[[#This Row],[IMT29]]+Table1[[#This Row],[LIABILITY PREMIUM]]+Table1[[#This Row],[TOTAL GST]]</f>
        <v>0</v>
      </c>
      <c r="AD31" s="270"/>
      <c r="AE31" s="270"/>
    </row>
    <row r="32" spans="1:31" x14ac:dyDescent="0.25">
      <c r="A32" s="287">
        <v>31</v>
      </c>
      <c r="B32" s="279"/>
      <c r="C32" s="280"/>
      <c r="D32" s="280"/>
      <c r="E32" s="280"/>
      <c r="F32" s="281"/>
      <c r="G32" s="280"/>
      <c r="H32" s="280"/>
      <c r="I32" s="280"/>
      <c r="J32" s="280"/>
      <c r="K32" s="280"/>
      <c r="L32" s="282">
        <v>0</v>
      </c>
      <c r="M32" s="282">
        <v>0</v>
      </c>
      <c r="N32" s="282">
        <v>0</v>
      </c>
      <c r="O32" s="282">
        <f>Table1[[#This Row],[VEHICLE IDV]]+Table1[[#This Row],[ELECTRICAL ACCESSORIES IDV]]</f>
        <v>0</v>
      </c>
      <c r="P32" s="282">
        <v>0</v>
      </c>
      <c r="Q32" s="282">
        <v>0</v>
      </c>
      <c r="R32" s="282">
        <v>0</v>
      </c>
      <c r="S32" s="282">
        <v>0</v>
      </c>
      <c r="T32" s="282">
        <v>0</v>
      </c>
      <c r="U32" s="282">
        <f>SUM(Table1[[#This Row],[OD PREMIUM]:[No Claim Bonus]])</f>
        <v>0</v>
      </c>
      <c r="V32" s="282">
        <v>0</v>
      </c>
      <c r="W32" s="282">
        <v>0</v>
      </c>
      <c r="X32" s="282">
        <v>0</v>
      </c>
      <c r="Y32" s="282">
        <v>0</v>
      </c>
      <c r="Z32" s="282">
        <v>0</v>
      </c>
      <c r="AA32" s="290">
        <f>SUM(Table1[[#This Row],[TOTAL OD PREMIUM]:[IMT29]])*18%+Table1[[#This Row],[LIABILITY PREMIUM]]*5%</f>
        <v>0</v>
      </c>
      <c r="AB32" s="288">
        <f>Table1[[#This Row],[TOTAL OD PREMIUM]]+Table1[[#This Row],[IMT17]]+Table1[[#This Row],[IMT252]]+Table1[[#This Row],[IMT28]]+Table1[[#This Row],[IMT29]]+Table1[[#This Row],[LIABILITY PREMIUM]]+Table1[[#This Row],[TOTAL GST]]</f>
        <v>0</v>
      </c>
      <c r="AD32" s="270"/>
      <c r="AE32" s="270"/>
    </row>
    <row r="33" spans="1:31" x14ac:dyDescent="0.25">
      <c r="A33" s="287">
        <v>32</v>
      </c>
      <c r="B33" s="279"/>
      <c r="C33" s="280"/>
      <c r="D33" s="280"/>
      <c r="E33" s="280"/>
      <c r="F33" s="281"/>
      <c r="G33" s="280"/>
      <c r="H33" s="280"/>
      <c r="I33" s="280"/>
      <c r="J33" s="280"/>
      <c r="K33" s="280"/>
      <c r="L33" s="282">
        <v>0</v>
      </c>
      <c r="M33" s="282">
        <v>0</v>
      </c>
      <c r="N33" s="282">
        <v>0</v>
      </c>
      <c r="O33" s="282">
        <f>Table1[[#This Row],[VEHICLE IDV]]+Table1[[#This Row],[ELECTRICAL ACCESSORIES IDV]]</f>
        <v>0</v>
      </c>
      <c r="P33" s="282">
        <v>0</v>
      </c>
      <c r="Q33" s="282">
        <v>0</v>
      </c>
      <c r="R33" s="282">
        <v>0</v>
      </c>
      <c r="S33" s="282">
        <v>0</v>
      </c>
      <c r="T33" s="282">
        <v>0</v>
      </c>
      <c r="U33" s="282">
        <f>SUM(Table1[[#This Row],[OD PREMIUM]:[No Claim Bonus]])</f>
        <v>0</v>
      </c>
      <c r="V33" s="282">
        <v>0</v>
      </c>
      <c r="W33" s="282">
        <v>0</v>
      </c>
      <c r="X33" s="282">
        <v>0</v>
      </c>
      <c r="Y33" s="282">
        <v>0</v>
      </c>
      <c r="Z33" s="282">
        <v>0</v>
      </c>
      <c r="AA33" s="290">
        <f>SUM(Table1[[#This Row],[TOTAL OD PREMIUM]:[IMT29]])*18%+Table1[[#This Row],[LIABILITY PREMIUM]]*5%</f>
        <v>0</v>
      </c>
      <c r="AB33" s="288">
        <f>Table1[[#This Row],[TOTAL OD PREMIUM]]+Table1[[#This Row],[IMT17]]+Table1[[#This Row],[IMT252]]+Table1[[#This Row],[IMT28]]+Table1[[#This Row],[IMT29]]+Table1[[#This Row],[LIABILITY PREMIUM]]+Table1[[#This Row],[TOTAL GST]]</f>
        <v>0</v>
      </c>
      <c r="AD33" s="270"/>
      <c r="AE33" s="270"/>
    </row>
    <row r="34" spans="1:31" x14ac:dyDescent="0.25">
      <c r="A34" s="287">
        <v>33</v>
      </c>
      <c r="B34" s="279"/>
      <c r="C34" s="280"/>
      <c r="D34" s="280"/>
      <c r="E34" s="280"/>
      <c r="F34" s="281"/>
      <c r="G34" s="280"/>
      <c r="H34" s="280"/>
      <c r="I34" s="280"/>
      <c r="J34" s="280"/>
      <c r="K34" s="280"/>
      <c r="L34" s="282">
        <v>0</v>
      </c>
      <c r="M34" s="282">
        <v>0</v>
      </c>
      <c r="N34" s="282">
        <v>0</v>
      </c>
      <c r="O34" s="282">
        <f>Table1[[#This Row],[VEHICLE IDV]]+Table1[[#This Row],[ELECTRICAL ACCESSORIES IDV]]</f>
        <v>0</v>
      </c>
      <c r="P34" s="282">
        <v>0</v>
      </c>
      <c r="Q34" s="282">
        <v>0</v>
      </c>
      <c r="R34" s="282">
        <v>0</v>
      </c>
      <c r="S34" s="282">
        <v>0</v>
      </c>
      <c r="T34" s="282">
        <v>0</v>
      </c>
      <c r="U34" s="282">
        <f>SUM(Table1[[#This Row],[OD PREMIUM]:[No Claim Bonus]])</f>
        <v>0</v>
      </c>
      <c r="V34" s="282">
        <v>0</v>
      </c>
      <c r="W34" s="282">
        <v>0</v>
      </c>
      <c r="X34" s="282">
        <v>0</v>
      </c>
      <c r="Y34" s="282">
        <v>0</v>
      </c>
      <c r="Z34" s="282">
        <v>0</v>
      </c>
      <c r="AA34" s="290">
        <f>SUM(Table1[[#This Row],[TOTAL OD PREMIUM]:[IMT29]])*18%+Table1[[#This Row],[LIABILITY PREMIUM]]*5%</f>
        <v>0</v>
      </c>
      <c r="AB34" s="288">
        <f>Table1[[#This Row],[TOTAL OD PREMIUM]]+Table1[[#This Row],[IMT17]]+Table1[[#This Row],[IMT252]]+Table1[[#This Row],[IMT28]]+Table1[[#This Row],[IMT29]]+Table1[[#This Row],[LIABILITY PREMIUM]]+Table1[[#This Row],[TOTAL GST]]</f>
        <v>0</v>
      </c>
      <c r="AD34" s="270"/>
      <c r="AE34" s="270"/>
    </row>
    <row r="35" spans="1:31" x14ac:dyDescent="0.25">
      <c r="A35" s="287">
        <v>34</v>
      </c>
      <c r="B35" s="279"/>
      <c r="C35" s="280"/>
      <c r="D35" s="280"/>
      <c r="E35" s="280"/>
      <c r="F35" s="281"/>
      <c r="G35" s="280"/>
      <c r="H35" s="280"/>
      <c r="I35" s="280"/>
      <c r="J35" s="280"/>
      <c r="K35" s="280"/>
      <c r="L35" s="282">
        <v>0</v>
      </c>
      <c r="M35" s="282">
        <v>0</v>
      </c>
      <c r="N35" s="282">
        <v>0</v>
      </c>
      <c r="O35" s="282">
        <f>Table1[[#This Row],[VEHICLE IDV]]+Table1[[#This Row],[ELECTRICAL ACCESSORIES IDV]]</f>
        <v>0</v>
      </c>
      <c r="P35" s="282">
        <v>0</v>
      </c>
      <c r="Q35" s="282">
        <v>0</v>
      </c>
      <c r="R35" s="282">
        <v>0</v>
      </c>
      <c r="S35" s="282">
        <v>0</v>
      </c>
      <c r="T35" s="282">
        <v>0</v>
      </c>
      <c r="U35" s="282">
        <f>SUM(Table1[[#This Row],[OD PREMIUM]:[No Claim Bonus]])</f>
        <v>0</v>
      </c>
      <c r="V35" s="282">
        <v>0</v>
      </c>
      <c r="W35" s="282">
        <v>0</v>
      </c>
      <c r="X35" s="282">
        <v>0</v>
      </c>
      <c r="Y35" s="282">
        <v>0</v>
      </c>
      <c r="Z35" s="282">
        <v>0</v>
      </c>
      <c r="AA35" s="290">
        <f>SUM(Table1[[#This Row],[TOTAL OD PREMIUM]:[IMT29]])*18%+Table1[[#This Row],[LIABILITY PREMIUM]]*5%</f>
        <v>0</v>
      </c>
      <c r="AB35" s="288">
        <f>Table1[[#This Row],[TOTAL OD PREMIUM]]+Table1[[#This Row],[IMT17]]+Table1[[#This Row],[IMT252]]+Table1[[#This Row],[IMT28]]+Table1[[#This Row],[IMT29]]+Table1[[#This Row],[LIABILITY PREMIUM]]+Table1[[#This Row],[TOTAL GST]]</f>
        <v>0</v>
      </c>
      <c r="AD35" s="270"/>
      <c r="AE35" s="270"/>
    </row>
    <row r="36" spans="1:31" x14ac:dyDescent="0.25">
      <c r="A36" s="287">
        <v>35</v>
      </c>
      <c r="B36" s="279"/>
      <c r="C36" s="280"/>
      <c r="D36" s="280"/>
      <c r="E36" s="280"/>
      <c r="F36" s="281"/>
      <c r="G36" s="280"/>
      <c r="H36" s="280"/>
      <c r="I36" s="280"/>
      <c r="J36" s="280"/>
      <c r="K36" s="280"/>
      <c r="L36" s="282">
        <v>0</v>
      </c>
      <c r="M36" s="282">
        <v>0</v>
      </c>
      <c r="N36" s="282">
        <v>0</v>
      </c>
      <c r="O36" s="282">
        <f>Table1[[#This Row],[VEHICLE IDV]]+Table1[[#This Row],[ELECTRICAL ACCESSORIES IDV]]</f>
        <v>0</v>
      </c>
      <c r="P36" s="282">
        <v>0</v>
      </c>
      <c r="Q36" s="282">
        <v>0</v>
      </c>
      <c r="R36" s="282">
        <v>0</v>
      </c>
      <c r="S36" s="282">
        <v>0</v>
      </c>
      <c r="T36" s="282">
        <v>0</v>
      </c>
      <c r="U36" s="282">
        <f>SUM(Table1[[#This Row],[OD PREMIUM]:[No Claim Bonus]])</f>
        <v>0</v>
      </c>
      <c r="V36" s="282">
        <v>0</v>
      </c>
      <c r="W36" s="282">
        <v>0</v>
      </c>
      <c r="X36" s="282">
        <v>0</v>
      </c>
      <c r="Y36" s="282">
        <v>0</v>
      </c>
      <c r="Z36" s="282">
        <v>0</v>
      </c>
      <c r="AA36" s="290">
        <f>SUM(Table1[[#This Row],[TOTAL OD PREMIUM]:[IMT29]])*18%+Table1[[#This Row],[LIABILITY PREMIUM]]*5%</f>
        <v>0</v>
      </c>
      <c r="AB36" s="288">
        <f>Table1[[#This Row],[TOTAL OD PREMIUM]]+Table1[[#This Row],[IMT17]]+Table1[[#This Row],[IMT252]]+Table1[[#This Row],[IMT28]]+Table1[[#This Row],[IMT29]]+Table1[[#This Row],[LIABILITY PREMIUM]]+Table1[[#This Row],[TOTAL GST]]</f>
        <v>0</v>
      </c>
      <c r="AD36" s="270"/>
      <c r="AE36" s="270"/>
    </row>
    <row r="37" spans="1:31" x14ac:dyDescent="0.25">
      <c r="A37" s="287">
        <v>36</v>
      </c>
      <c r="B37" s="279"/>
      <c r="C37" s="280"/>
      <c r="D37" s="280"/>
      <c r="E37" s="280"/>
      <c r="F37" s="281"/>
      <c r="G37" s="280"/>
      <c r="H37" s="280"/>
      <c r="I37" s="280"/>
      <c r="J37" s="280"/>
      <c r="K37" s="280"/>
      <c r="L37" s="282">
        <v>0</v>
      </c>
      <c r="M37" s="282">
        <v>0</v>
      </c>
      <c r="N37" s="282">
        <v>0</v>
      </c>
      <c r="O37" s="282">
        <f>Table1[[#This Row],[VEHICLE IDV]]+Table1[[#This Row],[ELECTRICAL ACCESSORIES IDV]]</f>
        <v>0</v>
      </c>
      <c r="P37" s="282">
        <v>0</v>
      </c>
      <c r="Q37" s="282">
        <v>0</v>
      </c>
      <c r="R37" s="282">
        <v>0</v>
      </c>
      <c r="S37" s="282">
        <v>0</v>
      </c>
      <c r="T37" s="282">
        <v>0</v>
      </c>
      <c r="U37" s="282">
        <f>SUM(Table1[[#This Row],[OD PREMIUM]:[No Claim Bonus]])</f>
        <v>0</v>
      </c>
      <c r="V37" s="282">
        <v>0</v>
      </c>
      <c r="W37" s="282">
        <v>0</v>
      </c>
      <c r="X37" s="282">
        <v>0</v>
      </c>
      <c r="Y37" s="282">
        <v>0</v>
      </c>
      <c r="Z37" s="282">
        <v>0</v>
      </c>
      <c r="AA37" s="290">
        <f>SUM(Table1[[#This Row],[TOTAL OD PREMIUM]:[IMT29]])*18%+Table1[[#This Row],[LIABILITY PREMIUM]]*5%</f>
        <v>0</v>
      </c>
      <c r="AB37" s="288">
        <f>Table1[[#This Row],[TOTAL OD PREMIUM]]+Table1[[#This Row],[IMT17]]+Table1[[#This Row],[IMT252]]+Table1[[#This Row],[IMT28]]+Table1[[#This Row],[IMT29]]+Table1[[#This Row],[LIABILITY PREMIUM]]+Table1[[#This Row],[TOTAL GST]]</f>
        <v>0</v>
      </c>
      <c r="AD37" s="270"/>
      <c r="AE37" s="270"/>
    </row>
    <row r="38" spans="1:31" x14ac:dyDescent="0.25">
      <c r="A38" s="287">
        <v>37</v>
      </c>
      <c r="B38" s="279"/>
      <c r="C38" s="280"/>
      <c r="D38" s="280"/>
      <c r="E38" s="280"/>
      <c r="F38" s="281"/>
      <c r="G38" s="280"/>
      <c r="H38" s="280"/>
      <c r="I38" s="280"/>
      <c r="J38" s="280"/>
      <c r="K38" s="280"/>
      <c r="L38" s="282">
        <v>0</v>
      </c>
      <c r="M38" s="282">
        <v>0</v>
      </c>
      <c r="N38" s="282">
        <v>0</v>
      </c>
      <c r="O38" s="282">
        <f>Table1[[#This Row],[VEHICLE IDV]]+Table1[[#This Row],[ELECTRICAL ACCESSORIES IDV]]</f>
        <v>0</v>
      </c>
      <c r="P38" s="282">
        <v>0</v>
      </c>
      <c r="Q38" s="282">
        <v>0</v>
      </c>
      <c r="R38" s="282">
        <v>0</v>
      </c>
      <c r="S38" s="282">
        <v>0</v>
      </c>
      <c r="T38" s="282">
        <v>0</v>
      </c>
      <c r="U38" s="282">
        <f>SUM(Table1[[#This Row],[OD PREMIUM]:[No Claim Bonus]])</f>
        <v>0</v>
      </c>
      <c r="V38" s="282">
        <v>0</v>
      </c>
      <c r="W38" s="282">
        <v>0</v>
      </c>
      <c r="X38" s="282">
        <v>0</v>
      </c>
      <c r="Y38" s="282">
        <v>0</v>
      </c>
      <c r="Z38" s="282">
        <v>0</v>
      </c>
      <c r="AA38" s="290">
        <f>SUM(Table1[[#This Row],[TOTAL OD PREMIUM]:[IMT29]])*18%+Table1[[#This Row],[LIABILITY PREMIUM]]*5%</f>
        <v>0</v>
      </c>
      <c r="AB38" s="288">
        <f>Table1[[#This Row],[TOTAL OD PREMIUM]]+Table1[[#This Row],[IMT17]]+Table1[[#This Row],[IMT252]]+Table1[[#This Row],[IMT28]]+Table1[[#This Row],[IMT29]]+Table1[[#This Row],[LIABILITY PREMIUM]]+Table1[[#This Row],[TOTAL GST]]</f>
        <v>0</v>
      </c>
      <c r="AD38" s="270"/>
      <c r="AE38" s="270"/>
    </row>
    <row r="39" spans="1:31" x14ac:dyDescent="0.25">
      <c r="A39" s="287">
        <v>38</v>
      </c>
      <c r="B39" s="279"/>
      <c r="C39" s="280"/>
      <c r="D39" s="280"/>
      <c r="E39" s="280"/>
      <c r="F39" s="281"/>
      <c r="G39" s="280"/>
      <c r="H39" s="280"/>
      <c r="I39" s="280"/>
      <c r="J39" s="280"/>
      <c r="K39" s="280"/>
      <c r="L39" s="282">
        <v>0</v>
      </c>
      <c r="M39" s="282">
        <v>0</v>
      </c>
      <c r="N39" s="282">
        <v>0</v>
      </c>
      <c r="O39" s="282">
        <f>Table1[[#This Row],[VEHICLE IDV]]+Table1[[#This Row],[ELECTRICAL ACCESSORIES IDV]]</f>
        <v>0</v>
      </c>
      <c r="P39" s="282">
        <v>0</v>
      </c>
      <c r="Q39" s="282">
        <v>0</v>
      </c>
      <c r="R39" s="282">
        <v>0</v>
      </c>
      <c r="S39" s="282">
        <v>0</v>
      </c>
      <c r="T39" s="282">
        <v>0</v>
      </c>
      <c r="U39" s="282">
        <f>SUM(Table1[[#This Row],[OD PREMIUM]:[No Claim Bonus]])</f>
        <v>0</v>
      </c>
      <c r="V39" s="282">
        <v>0</v>
      </c>
      <c r="W39" s="282">
        <v>0</v>
      </c>
      <c r="X39" s="282">
        <v>0</v>
      </c>
      <c r="Y39" s="282">
        <v>0</v>
      </c>
      <c r="Z39" s="282">
        <v>0</v>
      </c>
      <c r="AA39" s="290">
        <f>SUM(Table1[[#This Row],[TOTAL OD PREMIUM]:[IMT29]])*18%+Table1[[#This Row],[LIABILITY PREMIUM]]*5%</f>
        <v>0</v>
      </c>
      <c r="AB39" s="288">
        <f>Table1[[#This Row],[TOTAL OD PREMIUM]]+Table1[[#This Row],[IMT17]]+Table1[[#This Row],[IMT252]]+Table1[[#This Row],[IMT28]]+Table1[[#This Row],[IMT29]]+Table1[[#This Row],[LIABILITY PREMIUM]]+Table1[[#This Row],[TOTAL GST]]</f>
        <v>0</v>
      </c>
      <c r="AD39" s="270"/>
      <c r="AE39" s="270"/>
    </row>
    <row r="40" spans="1:31" x14ac:dyDescent="0.25">
      <c r="A40" s="287">
        <v>39</v>
      </c>
      <c r="B40" s="279"/>
      <c r="C40" s="280"/>
      <c r="D40" s="280"/>
      <c r="E40" s="280"/>
      <c r="F40" s="281"/>
      <c r="G40" s="280"/>
      <c r="H40" s="280"/>
      <c r="I40" s="280"/>
      <c r="J40" s="280"/>
      <c r="K40" s="280"/>
      <c r="L40" s="282">
        <v>0</v>
      </c>
      <c r="M40" s="282">
        <v>0</v>
      </c>
      <c r="N40" s="282">
        <v>0</v>
      </c>
      <c r="O40" s="282">
        <f>Table1[[#This Row],[VEHICLE IDV]]+Table1[[#This Row],[ELECTRICAL ACCESSORIES IDV]]</f>
        <v>0</v>
      </c>
      <c r="P40" s="282">
        <v>0</v>
      </c>
      <c r="Q40" s="282">
        <v>0</v>
      </c>
      <c r="R40" s="282">
        <v>0</v>
      </c>
      <c r="S40" s="282">
        <v>0</v>
      </c>
      <c r="T40" s="282">
        <v>0</v>
      </c>
      <c r="U40" s="282">
        <f>SUM(Table1[[#This Row],[OD PREMIUM]:[No Claim Bonus]])</f>
        <v>0</v>
      </c>
      <c r="V40" s="282">
        <v>0</v>
      </c>
      <c r="W40" s="282">
        <v>0</v>
      </c>
      <c r="X40" s="282">
        <v>0</v>
      </c>
      <c r="Y40" s="282">
        <v>0</v>
      </c>
      <c r="Z40" s="282">
        <v>0</v>
      </c>
      <c r="AA40" s="290">
        <f>SUM(Table1[[#This Row],[TOTAL OD PREMIUM]:[IMT29]])*18%+Table1[[#This Row],[LIABILITY PREMIUM]]*5%</f>
        <v>0</v>
      </c>
      <c r="AB40" s="288">
        <f>Table1[[#This Row],[TOTAL OD PREMIUM]]+Table1[[#This Row],[IMT17]]+Table1[[#This Row],[IMT252]]+Table1[[#This Row],[IMT28]]+Table1[[#This Row],[IMT29]]+Table1[[#This Row],[LIABILITY PREMIUM]]+Table1[[#This Row],[TOTAL GST]]</f>
        <v>0</v>
      </c>
      <c r="AD40" s="270"/>
      <c r="AE40" s="270"/>
    </row>
    <row r="41" spans="1:31" x14ac:dyDescent="0.25">
      <c r="A41" s="287">
        <v>40</v>
      </c>
      <c r="B41" s="279"/>
      <c r="C41" s="280"/>
      <c r="D41" s="280"/>
      <c r="E41" s="280"/>
      <c r="F41" s="281"/>
      <c r="G41" s="280"/>
      <c r="H41" s="280"/>
      <c r="I41" s="280"/>
      <c r="J41" s="280"/>
      <c r="K41" s="280"/>
      <c r="L41" s="282">
        <v>0</v>
      </c>
      <c r="M41" s="282">
        <v>0</v>
      </c>
      <c r="N41" s="282">
        <v>0</v>
      </c>
      <c r="O41" s="282">
        <f>Table1[[#This Row],[VEHICLE IDV]]+Table1[[#This Row],[ELECTRICAL ACCESSORIES IDV]]</f>
        <v>0</v>
      </c>
      <c r="P41" s="282">
        <v>0</v>
      </c>
      <c r="Q41" s="282">
        <v>0</v>
      </c>
      <c r="R41" s="282">
        <v>0</v>
      </c>
      <c r="S41" s="282">
        <v>0</v>
      </c>
      <c r="T41" s="282">
        <v>0</v>
      </c>
      <c r="U41" s="282">
        <f>SUM(Table1[[#This Row],[OD PREMIUM]:[No Claim Bonus]])</f>
        <v>0</v>
      </c>
      <c r="V41" s="282">
        <v>0</v>
      </c>
      <c r="W41" s="282">
        <v>0</v>
      </c>
      <c r="X41" s="282">
        <v>0</v>
      </c>
      <c r="Y41" s="282">
        <v>0</v>
      </c>
      <c r="Z41" s="282">
        <v>0</v>
      </c>
      <c r="AA41" s="290">
        <f>SUM(Table1[[#This Row],[TOTAL OD PREMIUM]:[IMT29]])*18%+Table1[[#This Row],[LIABILITY PREMIUM]]*5%</f>
        <v>0</v>
      </c>
      <c r="AB41" s="288">
        <f>Table1[[#This Row],[TOTAL OD PREMIUM]]+Table1[[#This Row],[IMT17]]+Table1[[#This Row],[IMT252]]+Table1[[#This Row],[IMT28]]+Table1[[#This Row],[IMT29]]+Table1[[#This Row],[LIABILITY PREMIUM]]+Table1[[#This Row],[TOTAL GST]]</f>
        <v>0</v>
      </c>
      <c r="AD41" s="270"/>
      <c r="AE41" s="270"/>
    </row>
    <row r="42" spans="1:31" x14ac:dyDescent="0.25">
      <c r="A42" s="287">
        <v>41</v>
      </c>
      <c r="B42" s="279"/>
      <c r="C42" s="280"/>
      <c r="D42" s="280"/>
      <c r="E42" s="280"/>
      <c r="F42" s="281"/>
      <c r="G42" s="280"/>
      <c r="H42" s="280"/>
      <c r="I42" s="280"/>
      <c r="J42" s="280"/>
      <c r="K42" s="280"/>
      <c r="L42" s="282"/>
      <c r="M42" s="282"/>
      <c r="N42" s="282"/>
      <c r="O42" s="282">
        <f>Table1[[#This Row],[VEHICLE IDV]]+Table1[[#This Row],[ELECTRICAL ACCESSORIES IDV]]</f>
        <v>0</v>
      </c>
      <c r="P42" s="282"/>
      <c r="Q42" s="282"/>
      <c r="R42" s="282"/>
      <c r="S42" s="282"/>
      <c r="T42" s="282"/>
      <c r="U42" s="282">
        <f>SUM(Table1[[#This Row],[OD PREMIUM]:[No Claim Bonus]])</f>
        <v>0</v>
      </c>
      <c r="V42" s="282">
        <v>0</v>
      </c>
      <c r="W42" s="282"/>
      <c r="X42" s="282">
        <v>0</v>
      </c>
      <c r="Y42" s="282"/>
      <c r="Z42" s="282"/>
      <c r="AA42" s="283"/>
      <c r="AB42" s="288"/>
      <c r="AD42" s="270"/>
      <c r="AE42" s="270"/>
    </row>
    <row r="43" spans="1:31" x14ac:dyDescent="0.25">
      <c r="A43" s="287">
        <v>42</v>
      </c>
      <c r="B43" s="279"/>
      <c r="C43" s="280"/>
      <c r="D43" s="280"/>
      <c r="E43" s="280"/>
      <c r="F43" s="281"/>
      <c r="G43" s="280"/>
      <c r="H43" s="280"/>
      <c r="I43" s="280"/>
      <c r="J43" s="280"/>
      <c r="K43" s="280"/>
      <c r="L43" s="282"/>
      <c r="M43" s="282"/>
      <c r="N43" s="282"/>
      <c r="O43" s="282">
        <f>Table1[[#This Row],[VEHICLE IDV]]+Table1[[#This Row],[ELECTRICAL ACCESSORIES IDV]]</f>
        <v>0</v>
      </c>
      <c r="P43" s="282"/>
      <c r="Q43" s="282"/>
      <c r="R43" s="282"/>
      <c r="S43" s="282"/>
      <c r="T43" s="282"/>
      <c r="U43" s="282">
        <f>SUM(Table1[[#This Row],[OD PREMIUM]:[No Claim Bonus]])</f>
        <v>0</v>
      </c>
      <c r="V43" s="282">
        <v>0</v>
      </c>
      <c r="W43" s="282"/>
      <c r="X43" s="282">
        <v>0</v>
      </c>
      <c r="Y43" s="282"/>
      <c r="Z43" s="282"/>
      <c r="AA43" s="283"/>
      <c r="AB43" s="288"/>
      <c r="AD43" s="270"/>
      <c r="AE43" s="270"/>
    </row>
    <row r="44" spans="1:31" x14ac:dyDescent="0.25">
      <c r="A44" s="287">
        <v>43</v>
      </c>
      <c r="B44" s="279"/>
      <c r="C44" s="280"/>
      <c r="D44" s="280"/>
      <c r="E44" s="280"/>
      <c r="F44" s="281"/>
      <c r="G44" s="280"/>
      <c r="H44" s="280"/>
      <c r="I44" s="280"/>
      <c r="J44" s="280"/>
      <c r="K44" s="280"/>
      <c r="L44" s="282"/>
      <c r="M44" s="282"/>
      <c r="N44" s="282"/>
      <c r="O44" s="282">
        <f>Table1[[#This Row],[VEHICLE IDV]]+Table1[[#This Row],[ELECTRICAL ACCESSORIES IDV]]</f>
        <v>0</v>
      </c>
      <c r="P44" s="282"/>
      <c r="Q44" s="282"/>
      <c r="R44" s="282"/>
      <c r="S44" s="282"/>
      <c r="T44" s="282"/>
      <c r="U44" s="282">
        <f>SUM(Table1[[#This Row],[OD PREMIUM]:[No Claim Bonus]])</f>
        <v>0</v>
      </c>
      <c r="V44" s="282">
        <v>0</v>
      </c>
      <c r="W44" s="282"/>
      <c r="X44" s="282">
        <v>0</v>
      </c>
      <c r="Y44" s="282"/>
      <c r="Z44" s="282"/>
      <c r="AA44" s="283"/>
      <c r="AB44" s="288"/>
      <c r="AD44" s="270"/>
      <c r="AE44" s="270"/>
    </row>
    <row r="45" spans="1:31" x14ac:dyDescent="0.25">
      <c r="A45" s="287">
        <v>44</v>
      </c>
      <c r="B45" s="279"/>
      <c r="C45" s="280"/>
      <c r="D45" s="280"/>
      <c r="E45" s="280"/>
      <c r="F45" s="281"/>
      <c r="G45" s="280"/>
      <c r="H45" s="280"/>
      <c r="I45" s="280"/>
      <c r="J45" s="280"/>
      <c r="K45" s="280"/>
      <c r="L45" s="282"/>
      <c r="M45" s="282"/>
      <c r="N45" s="282"/>
      <c r="O45" s="282">
        <f>Table1[[#This Row],[VEHICLE IDV]]+Table1[[#This Row],[ELECTRICAL ACCESSORIES IDV]]</f>
        <v>0</v>
      </c>
      <c r="P45" s="282"/>
      <c r="Q45" s="282"/>
      <c r="R45" s="282"/>
      <c r="S45" s="282"/>
      <c r="T45" s="282"/>
      <c r="U45" s="282">
        <f>SUM(Table1[[#This Row],[OD PREMIUM]:[No Claim Bonus]])</f>
        <v>0</v>
      </c>
      <c r="V45" s="282"/>
      <c r="W45" s="282"/>
      <c r="X45" s="282"/>
      <c r="Y45" s="282"/>
      <c r="Z45" s="282"/>
      <c r="AA45" s="283"/>
      <c r="AB45" s="288"/>
      <c r="AD45" s="270"/>
      <c r="AE45" s="270"/>
    </row>
    <row r="46" spans="1:31" x14ac:dyDescent="0.25">
      <c r="A46" s="308"/>
      <c r="B46" s="309"/>
      <c r="C46" s="310"/>
      <c r="D46" s="310"/>
      <c r="E46" s="310"/>
      <c r="F46" s="311"/>
      <c r="G46" s="310"/>
      <c r="H46" s="310"/>
      <c r="I46" s="310"/>
      <c r="J46" s="310"/>
      <c r="K46" s="310" t="s">
        <v>222</v>
      </c>
      <c r="L46" s="312">
        <f>SUBTOTAL(9,L2:L45)</f>
        <v>24799389</v>
      </c>
      <c r="M46" s="312">
        <f t="shared" ref="M46:AB46" si="0">SUBTOTAL(9,M2:M45)</f>
        <v>521000</v>
      </c>
      <c r="N46" s="312">
        <f t="shared" si="0"/>
        <v>50000</v>
      </c>
      <c r="O46" s="312">
        <f t="shared" si="0"/>
        <v>25370389</v>
      </c>
      <c r="P46" s="312">
        <f t="shared" si="0"/>
        <v>62790</v>
      </c>
      <c r="Q46" s="312">
        <f t="shared" si="0"/>
        <v>9275</v>
      </c>
      <c r="R46" s="312">
        <f t="shared" si="0"/>
        <v>8350</v>
      </c>
      <c r="S46" s="312">
        <f t="shared" si="0"/>
        <v>8045</v>
      </c>
      <c r="T46" s="312">
        <f t="shared" si="0"/>
        <v>-20727</v>
      </c>
      <c r="U46" s="312">
        <f t="shared" si="0"/>
        <v>67733</v>
      </c>
      <c r="V46" s="312">
        <f t="shared" si="0"/>
        <v>1185</v>
      </c>
      <c r="W46" s="312">
        <f t="shared" si="0"/>
        <v>135</v>
      </c>
      <c r="X46" s="312">
        <f t="shared" si="0"/>
        <v>1675</v>
      </c>
      <c r="Y46" s="312">
        <f t="shared" si="0"/>
        <v>100</v>
      </c>
      <c r="Z46" s="312">
        <f t="shared" si="0"/>
        <v>1101286</v>
      </c>
      <c r="AA46" s="312">
        <f t="shared" si="0"/>
        <v>67813.339999999982</v>
      </c>
      <c r="AB46" s="313">
        <f t="shared" si="0"/>
        <v>1239927.3400000001</v>
      </c>
      <c r="AD46" s="270"/>
      <c r="AE46" s="270"/>
    </row>
    <row r="47" spans="1:31" s="272" customFormat="1" x14ac:dyDescent="0.25">
      <c r="A47" s="314"/>
      <c r="B47" s="315"/>
      <c r="C47" s="316"/>
      <c r="D47" s="316"/>
      <c r="E47" s="316"/>
      <c r="F47" s="317"/>
      <c r="G47" s="316"/>
      <c r="H47" s="316"/>
      <c r="I47" s="316"/>
      <c r="J47" s="316"/>
      <c r="K47" s="316" t="s">
        <v>221</v>
      </c>
      <c r="L47" s="318">
        <f>'Data-OLD'!C41</f>
        <v>25607791</v>
      </c>
      <c r="M47" s="318">
        <f>'Data-OLD'!D41</f>
        <v>1280000</v>
      </c>
      <c r="N47" s="318"/>
      <c r="O47" s="318">
        <f>'Data-OLD'!E41</f>
        <v>26887791</v>
      </c>
      <c r="P47" s="318">
        <f>'Data-OLD'!F41</f>
        <v>96272</v>
      </c>
      <c r="Q47" s="318">
        <f>'Data-OLD'!G41</f>
        <v>2338</v>
      </c>
      <c r="R47" s="318">
        <f>'Data-OLD'!H41</f>
        <v>0</v>
      </c>
      <c r="S47" s="318">
        <f>'Data-OLD'!I41</f>
        <v>1546</v>
      </c>
      <c r="T47" s="330">
        <f>'Data-OLD'!J41</f>
        <v>-7516</v>
      </c>
      <c r="U47" s="318">
        <f>'Data-OLD'!K41</f>
        <v>92640</v>
      </c>
      <c r="V47" s="318">
        <f>'Data-OLD'!L41</f>
        <v>3450</v>
      </c>
      <c r="W47" s="318"/>
      <c r="X47" s="318">
        <f>'Data-OLD'!M41</f>
        <v>2320</v>
      </c>
      <c r="Y47" s="318"/>
      <c r="Z47" s="318">
        <f>'Data-OLD'!N41</f>
        <v>1144836</v>
      </c>
      <c r="AA47" s="318">
        <f>'Data-OLD'!O41</f>
        <v>155094.12</v>
      </c>
      <c r="AB47" s="319">
        <f>'Data-OLD'!P41</f>
        <v>1398340.12</v>
      </c>
      <c r="AC47" s="300"/>
      <c r="AD47" s="300"/>
      <c r="AE47" s="300"/>
    </row>
    <row r="48" spans="1:31" x14ac:dyDescent="0.25">
      <c r="A48" s="302"/>
      <c r="B48" s="303"/>
      <c r="C48" s="301"/>
      <c r="D48" s="301"/>
      <c r="E48" s="301"/>
      <c r="F48" s="304"/>
      <c r="G48" s="301"/>
      <c r="H48" s="301"/>
      <c r="I48" s="301"/>
      <c r="J48" s="301"/>
      <c r="K48" s="301" t="s">
        <v>223</v>
      </c>
      <c r="L48" s="305">
        <f>L47-L46</f>
        <v>808402</v>
      </c>
      <c r="M48" s="305">
        <f t="shared" ref="M48:AB48" si="1">M47-M46</f>
        <v>759000</v>
      </c>
      <c r="N48" s="305">
        <f t="shared" si="1"/>
        <v>-50000</v>
      </c>
      <c r="O48" s="305">
        <f t="shared" si="1"/>
        <v>1517402</v>
      </c>
      <c r="P48" s="305">
        <f t="shared" si="1"/>
        <v>33482</v>
      </c>
      <c r="Q48" s="305">
        <f t="shared" si="1"/>
        <v>-6937</v>
      </c>
      <c r="R48" s="305">
        <f t="shared" si="1"/>
        <v>-8350</v>
      </c>
      <c r="S48" s="305">
        <f t="shared" si="1"/>
        <v>-6499</v>
      </c>
      <c r="T48" s="305">
        <f t="shared" si="1"/>
        <v>13211</v>
      </c>
      <c r="U48" s="305">
        <f t="shared" si="1"/>
        <v>24907</v>
      </c>
      <c r="V48" s="305">
        <f t="shared" si="1"/>
        <v>2265</v>
      </c>
      <c r="W48" s="305"/>
      <c r="X48" s="305">
        <f t="shared" si="1"/>
        <v>645</v>
      </c>
      <c r="Y48" s="305"/>
      <c r="Z48" s="305">
        <f t="shared" si="1"/>
        <v>43550</v>
      </c>
      <c r="AA48" s="305">
        <f t="shared" si="1"/>
        <v>87280.780000000013</v>
      </c>
      <c r="AB48" s="320">
        <f t="shared" si="1"/>
        <v>158412.78000000003</v>
      </c>
    </row>
  </sheetData>
  <sortState xmlns:xlrd2="http://schemas.microsoft.com/office/spreadsheetml/2017/richdata2" ref="B8:AB11">
    <sortCondition ref="B8:B11"/>
  </sortState>
  <phoneticPr fontId="7" type="noConversion"/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0809-38DE-4AAC-A2D3-9E1207F35BAA}">
  <dimension ref="A1:P41"/>
  <sheetViews>
    <sheetView zoomScale="90" zoomScaleNormal="90" workbookViewId="0">
      <pane xSplit="2" ySplit="1" topLeftCell="C23" activePane="bottomRight" state="frozen"/>
      <selection pane="topRight" activeCell="C1" sqref="C1"/>
      <selection pane="bottomLeft" activeCell="A2" sqref="A2"/>
      <selection pane="bottomRight" activeCell="P27" sqref="P27"/>
    </sheetView>
  </sheetViews>
  <sheetFormatPr defaultRowHeight="15" x14ac:dyDescent="0.25"/>
  <cols>
    <col min="1" max="1" width="8" bestFit="1" customWidth="1"/>
    <col min="2" max="2" width="18" customWidth="1"/>
    <col min="3" max="3" width="14" bestFit="1" customWidth="1"/>
    <col min="4" max="4" width="16" customWidth="1"/>
    <col min="5" max="5" width="15.7109375" customWidth="1"/>
    <col min="6" max="6" width="15.5703125" bestFit="1" customWidth="1"/>
    <col min="7" max="8" width="8.7109375" bestFit="1" customWidth="1"/>
    <col min="9" max="9" width="8.7109375" customWidth="1"/>
    <col min="10" max="10" width="12.85546875" customWidth="1"/>
    <col min="11" max="11" width="14" customWidth="1"/>
    <col min="12" max="13" width="8.7109375" bestFit="1" customWidth="1"/>
    <col min="14" max="14" width="12.5703125" customWidth="1"/>
    <col min="15" max="15" width="12.7109375" bestFit="1" customWidth="1"/>
    <col min="16" max="16" width="13" customWidth="1"/>
  </cols>
  <sheetData>
    <row r="1" spans="1:16" s="272" customFormat="1" x14ac:dyDescent="0.25">
      <c r="A1" s="272" t="s">
        <v>149</v>
      </c>
      <c r="B1" s="299" t="s">
        <v>135</v>
      </c>
      <c r="C1" s="299" t="s">
        <v>140</v>
      </c>
      <c r="D1" s="299" t="s">
        <v>219</v>
      </c>
      <c r="E1" s="299" t="s">
        <v>208</v>
      </c>
      <c r="F1" s="299" t="s">
        <v>218</v>
      </c>
      <c r="G1" s="299" t="s">
        <v>209</v>
      </c>
      <c r="H1" s="299" t="s">
        <v>210</v>
      </c>
      <c r="I1" s="299" t="s">
        <v>211</v>
      </c>
      <c r="J1" s="299" t="s">
        <v>212</v>
      </c>
      <c r="K1" s="299" t="s">
        <v>217</v>
      </c>
      <c r="L1" s="299" t="s">
        <v>213</v>
      </c>
      <c r="M1" s="299" t="s">
        <v>214</v>
      </c>
      <c r="N1" s="299" t="s">
        <v>215</v>
      </c>
      <c r="O1" s="299" t="s">
        <v>216</v>
      </c>
      <c r="P1" s="299" t="s">
        <v>141</v>
      </c>
    </row>
    <row r="2" spans="1:16" x14ac:dyDescent="0.25">
      <c r="A2" s="297">
        <v>1</v>
      </c>
      <c r="B2" s="293" t="s">
        <v>88</v>
      </c>
      <c r="C2" s="294">
        <v>472532</v>
      </c>
      <c r="D2" s="294">
        <v>0</v>
      </c>
      <c r="E2" s="294">
        <f>'Data-OLD'!$C2+'Data-OLD'!$D2</f>
        <v>472532</v>
      </c>
      <c r="F2" s="294">
        <v>1715</v>
      </c>
      <c r="G2" s="294">
        <v>0</v>
      </c>
      <c r="H2" s="294">
        <v>0</v>
      </c>
      <c r="I2" s="294">
        <v>0</v>
      </c>
      <c r="J2" s="294">
        <v>0</v>
      </c>
      <c r="K2" s="294">
        <f>SUM('Data-OLD'!$F2:$J2)</f>
        <v>1715</v>
      </c>
      <c r="L2" s="294">
        <v>50</v>
      </c>
      <c r="M2" s="294">
        <v>50</v>
      </c>
      <c r="N2" s="294">
        <v>43750</v>
      </c>
      <c r="O2" s="295">
        <f>SUM('Data-OLD'!$K2+'Data-OLD'!$L2+'Data-OLD'!$M2)*18%+'Data-OLD'!$N2*12%</f>
        <v>5576.7</v>
      </c>
      <c r="P2" s="294">
        <f>'Data-OLD'!$K2+'Data-OLD'!$L2+'Data-OLD'!$M2+'Data-OLD'!$N2+'Data-OLD'!$O2</f>
        <v>51141.7</v>
      </c>
    </row>
    <row r="3" spans="1:16" x14ac:dyDescent="0.25">
      <c r="A3" s="297">
        <v>2</v>
      </c>
      <c r="B3" s="293" t="s">
        <v>84</v>
      </c>
      <c r="C3" s="294">
        <v>700000</v>
      </c>
      <c r="D3" s="294">
        <v>0</v>
      </c>
      <c r="E3" s="294">
        <f>'Data-OLD'!$C3+'Data-OLD'!$D3</f>
        <v>700000</v>
      </c>
      <c r="F3" s="294">
        <v>3472</v>
      </c>
      <c r="G3" s="294">
        <v>521</v>
      </c>
      <c r="H3" s="294">
        <v>0</v>
      </c>
      <c r="I3" s="294">
        <v>0</v>
      </c>
      <c r="J3" s="294">
        <v>-998</v>
      </c>
      <c r="K3" s="294">
        <f>SUM('Data-OLD'!$F3:$J3)</f>
        <v>2995</v>
      </c>
      <c r="L3" s="294">
        <v>120</v>
      </c>
      <c r="M3" s="294">
        <v>100</v>
      </c>
      <c r="N3" s="294">
        <v>44242</v>
      </c>
      <c r="O3" s="296">
        <f>SUM('Data-OLD'!$K3+'Data-OLD'!$L3+'Data-OLD'!$M3)*18%+'Data-OLD'!$N3*12%</f>
        <v>5887.74</v>
      </c>
      <c r="P3" s="298">
        <f>'Data-OLD'!$K3+'Data-OLD'!$L3+'Data-OLD'!$M3+'Data-OLD'!$N3+'Data-OLD'!$O3</f>
        <v>53344.74</v>
      </c>
    </row>
    <row r="4" spans="1:16" x14ac:dyDescent="0.25">
      <c r="A4" s="297">
        <v>3</v>
      </c>
      <c r="B4" s="293" t="s">
        <v>79</v>
      </c>
      <c r="C4" s="294">
        <v>810000</v>
      </c>
      <c r="D4" s="294">
        <v>0</v>
      </c>
      <c r="E4" s="294">
        <f>'Data-OLD'!$C4+'Data-OLD'!$D4</f>
        <v>810000</v>
      </c>
      <c r="F4" s="294">
        <v>1663</v>
      </c>
      <c r="G4" s="294">
        <v>0</v>
      </c>
      <c r="H4" s="294">
        <v>0</v>
      </c>
      <c r="I4" s="294">
        <v>0</v>
      </c>
      <c r="J4" s="294">
        <v>0</v>
      </c>
      <c r="K4" s="294">
        <f>SUM('Data-OLD'!$F4:$J4)</f>
        <v>1663</v>
      </c>
      <c r="L4" s="294">
        <v>75</v>
      </c>
      <c r="M4" s="294">
        <v>75</v>
      </c>
      <c r="N4" s="294">
        <v>43950</v>
      </c>
      <c r="O4" s="296">
        <f>SUM('Data-OLD'!$K4+'Data-OLD'!$L4+'Data-OLD'!$M4)*18%+'Data-OLD'!$N4*12%</f>
        <v>5600.34</v>
      </c>
      <c r="P4" s="298">
        <f>'Data-OLD'!$K4+'Data-OLD'!$L4+'Data-OLD'!$M4+'Data-OLD'!$N4+'Data-OLD'!$O4</f>
        <v>51363.34</v>
      </c>
    </row>
    <row r="5" spans="1:16" x14ac:dyDescent="0.25">
      <c r="A5" s="297">
        <v>4</v>
      </c>
      <c r="B5" s="293" t="s">
        <v>95</v>
      </c>
      <c r="C5" s="294">
        <v>900000</v>
      </c>
      <c r="D5" s="294">
        <v>0</v>
      </c>
      <c r="E5" s="294">
        <f>'Data-OLD'!$C5+'Data-OLD'!$D5</f>
        <v>900000</v>
      </c>
      <c r="F5" s="294">
        <v>4094</v>
      </c>
      <c r="G5" s="294">
        <v>0</v>
      </c>
      <c r="H5" s="294">
        <v>0</v>
      </c>
      <c r="I5" s="294">
        <v>0</v>
      </c>
      <c r="J5" s="294">
        <v>-1023</v>
      </c>
      <c r="K5" s="294">
        <f>SUM('Data-OLD'!$F5:$J5)</f>
        <v>3071</v>
      </c>
      <c r="L5" s="294">
        <v>50</v>
      </c>
      <c r="M5" s="294">
        <v>50</v>
      </c>
      <c r="N5" s="294">
        <v>43950</v>
      </c>
      <c r="O5" s="296">
        <f>SUM('Data-OLD'!$K5+'Data-OLD'!$L5+'Data-OLD'!$M5)*18%+'Data-OLD'!$N5*12%</f>
        <v>5844.78</v>
      </c>
      <c r="P5" s="298">
        <f>'Data-OLD'!$K5+'Data-OLD'!$L5+'Data-OLD'!$M5+'Data-OLD'!$N5+'Data-OLD'!$O5</f>
        <v>52965.78</v>
      </c>
    </row>
    <row r="6" spans="1:16" x14ac:dyDescent="0.25">
      <c r="A6" s="297">
        <v>5</v>
      </c>
      <c r="B6" s="293" t="s">
        <v>93</v>
      </c>
      <c r="C6" s="294">
        <v>710000</v>
      </c>
      <c r="D6" s="294">
        <v>100000</v>
      </c>
      <c r="E6" s="294">
        <f>'Data-OLD'!$C6+'Data-OLD'!$D6</f>
        <v>810000</v>
      </c>
      <c r="F6" s="294">
        <v>1279</v>
      </c>
      <c r="G6" s="294">
        <v>0</v>
      </c>
      <c r="H6" s="294">
        <v>0</v>
      </c>
      <c r="I6" s="294">
        <v>0</v>
      </c>
      <c r="J6" s="294">
        <v>0</v>
      </c>
      <c r="K6" s="294">
        <f>SUM('Data-OLD'!$F6:$J6)</f>
        <v>1279</v>
      </c>
      <c r="L6" s="294">
        <v>75</v>
      </c>
      <c r="M6" s="294">
        <v>75</v>
      </c>
      <c r="N6" s="294">
        <v>43950</v>
      </c>
      <c r="O6" s="296">
        <f>SUM('Data-OLD'!$K6+'Data-OLD'!$L6+'Data-OLD'!$M6)*18%+'Data-OLD'!$N6*12%</f>
        <v>5531.22</v>
      </c>
      <c r="P6" s="298">
        <f>'Data-OLD'!$K6+'Data-OLD'!$L6+'Data-OLD'!$M6+'Data-OLD'!$N6+'Data-OLD'!$O6</f>
        <v>50910.22</v>
      </c>
    </row>
    <row r="7" spans="1:16" x14ac:dyDescent="0.25">
      <c r="A7" s="297">
        <v>6</v>
      </c>
      <c r="B7" s="293" t="s">
        <v>97</v>
      </c>
      <c r="C7" s="294">
        <v>800000</v>
      </c>
      <c r="D7" s="294">
        <v>0</v>
      </c>
      <c r="E7" s="294">
        <f>'Data-OLD'!$C7+'Data-OLD'!$D7</f>
        <v>800000</v>
      </c>
      <c r="F7" s="294">
        <v>2207</v>
      </c>
      <c r="G7" s="294">
        <v>331</v>
      </c>
      <c r="H7" s="294">
        <v>0</v>
      </c>
      <c r="I7" s="294">
        <v>0</v>
      </c>
      <c r="J7" s="294">
        <v>-1269</v>
      </c>
      <c r="K7" s="294">
        <f>SUM('Data-OLD'!$F7:$J7)</f>
        <v>1269</v>
      </c>
      <c r="L7" s="294">
        <v>450</v>
      </c>
      <c r="M7" s="294">
        <v>100</v>
      </c>
      <c r="N7" s="294">
        <v>43950</v>
      </c>
      <c r="O7" s="296">
        <f>SUM('Data-OLD'!$K7+'Data-OLD'!$L7+'Data-OLD'!$M7)*18%+'Data-OLD'!$N7*12%</f>
        <v>5601.42</v>
      </c>
      <c r="P7" s="298">
        <f>'Data-OLD'!$K7+'Data-OLD'!$L7+'Data-OLD'!$M7+'Data-OLD'!$N7+'Data-OLD'!$O7</f>
        <v>51370.42</v>
      </c>
    </row>
    <row r="8" spans="1:16" x14ac:dyDescent="0.25">
      <c r="A8" s="297">
        <v>7</v>
      </c>
      <c r="B8" s="293" t="s">
        <v>99</v>
      </c>
      <c r="C8" s="294">
        <v>1000000</v>
      </c>
      <c r="D8" s="294">
        <v>80000</v>
      </c>
      <c r="E8" s="294">
        <f>'Data-OLD'!$C8+'Data-OLD'!$D8</f>
        <v>1080000</v>
      </c>
      <c r="F8" s="294">
        <v>2390</v>
      </c>
      <c r="G8" s="294">
        <v>0</v>
      </c>
      <c r="H8" s="294">
        <v>0</v>
      </c>
      <c r="I8" s="294">
        <v>0</v>
      </c>
      <c r="J8" s="294">
        <v>0</v>
      </c>
      <c r="K8" s="294">
        <f>SUM('Data-OLD'!$F8:$J8)</f>
        <v>2390</v>
      </c>
      <c r="L8" s="294">
        <v>75</v>
      </c>
      <c r="M8" s="294">
        <v>75</v>
      </c>
      <c r="N8" s="294">
        <v>43950</v>
      </c>
      <c r="O8" s="296">
        <f>SUM('Data-OLD'!$K8+'Data-OLD'!$L8+'Data-OLD'!$M8)*18%+'Data-OLD'!$N8*12%</f>
        <v>5731.2</v>
      </c>
      <c r="P8" s="298">
        <f>'Data-OLD'!$K8+'Data-OLD'!$L8+'Data-OLD'!$M8+'Data-OLD'!$N8+'Data-OLD'!$O8</f>
        <v>52221.2</v>
      </c>
    </row>
    <row r="9" spans="1:16" x14ac:dyDescent="0.25">
      <c r="A9" s="297">
        <v>8</v>
      </c>
      <c r="B9" s="343" t="s">
        <v>115</v>
      </c>
      <c r="C9" s="294">
        <v>1500000</v>
      </c>
      <c r="D9" s="294">
        <v>0</v>
      </c>
      <c r="E9" s="294">
        <f>'Data-OLD'!$C9+'Data-OLD'!$D9</f>
        <v>1500000</v>
      </c>
      <c r="F9" s="294">
        <f>8117</f>
        <v>8117</v>
      </c>
      <c r="G9" s="294">
        <v>0</v>
      </c>
      <c r="H9" s="294">
        <v>0</v>
      </c>
      <c r="I9" s="294">
        <v>0</v>
      </c>
      <c r="J9" s="294">
        <v>0</v>
      </c>
      <c r="K9" s="294">
        <f>SUM('Data-OLD'!$F9:$J9)</f>
        <v>8117</v>
      </c>
      <c r="L9" s="294">
        <v>275</v>
      </c>
      <c r="M9" s="294">
        <v>150</v>
      </c>
      <c r="N9" s="294">
        <v>44242</v>
      </c>
      <c r="O9" s="296">
        <f>SUM('Data-OLD'!$K9+'Data-OLD'!$L9+'Data-OLD'!$M9)*18%+'Data-OLD'!$N9*12%</f>
        <v>6846.6</v>
      </c>
      <c r="P9" s="298">
        <f>'Data-OLD'!$K9+'Data-OLD'!$L9+'Data-OLD'!$M9+'Data-OLD'!$N9+'Data-OLD'!$O9</f>
        <v>59630.6</v>
      </c>
    </row>
    <row r="10" spans="1:16" x14ac:dyDescent="0.25">
      <c r="A10" s="297">
        <v>9</v>
      </c>
      <c r="B10" s="343" t="s">
        <v>116</v>
      </c>
      <c r="C10" s="294">
        <v>1600000</v>
      </c>
      <c r="D10" s="294">
        <v>0</v>
      </c>
      <c r="E10" s="294">
        <f>'Data-OLD'!$C10+'Data-OLD'!$D10</f>
        <v>1600000</v>
      </c>
      <c r="F10" s="294">
        <v>3804</v>
      </c>
      <c r="G10" s="294">
        <v>571</v>
      </c>
      <c r="H10" s="294">
        <v>0</v>
      </c>
      <c r="I10" s="294">
        <v>0</v>
      </c>
      <c r="J10" s="294">
        <v>-875</v>
      </c>
      <c r="K10" s="294">
        <f>SUM('Data-OLD'!$F10:$J10)</f>
        <v>3500</v>
      </c>
      <c r="L10" s="294">
        <v>375</v>
      </c>
      <c r="M10" s="294">
        <v>100</v>
      </c>
      <c r="N10" s="294">
        <v>44242</v>
      </c>
      <c r="O10" s="296">
        <f>SUM('Data-OLD'!$K10+'Data-OLD'!$L10+'Data-OLD'!$M10)*18%+'Data-OLD'!$N10*12%</f>
        <v>6024.54</v>
      </c>
      <c r="P10" s="298">
        <f>'Data-OLD'!$K10+'Data-OLD'!$L10+'Data-OLD'!$M10+'Data-OLD'!$N10+'Data-OLD'!$O10</f>
        <v>54241.54</v>
      </c>
    </row>
    <row r="11" spans="1:16" x14ac:dyDescent="0.25">
      <c r="A11" s="297">
        <v>10</v>
      </c>
      <c r="B11" s="343" t="s">
        <v>120</v>
      </c>
      <c r="C11" s="294">
        <v>1350000</v>
      </c>
      <c r="D11" s="294">
        <v>0</v>
      </c>
      <c r="E11" s="294">
        <f>'Data-OLD'!$C11+'Data-OLD'!$D11</f>
        <v>1350000</v>
      </c>
      <c r="F11" s="294">
        <v>8232</v>
      </c>
      <c r="G11" s="294">
        <v>0</v>
      </c>
      <c r="H11" s="294">
        <v>0</v>
      </c>
      <c r="I11" s="294">
        <v>0</v>
      </c>
      <c r="J11" s="294">
        <v>0</v>
      </c>
      <c r="K11" s="294">
        <f>SUM('Data-OLD'!$F11:$J11)</f>
        <v>8232</v>
      </c>
      <c r="L11" s="294">
        <v>275</v>
      </c>
      <c r="M11" s="294">
        <v>150</v>
      </c>
      <c r="N11" s="294">
        <v>44242</v>
      </c>
      <c r="O11" s="296">
        <f>SUM('Data-OLD'!$K11+'Data-OLD'!$L11+'Data-OLD'!$M11)*18%+'Data-OLD'!$N11*12%</f>
        <v>6867.3</v>
      </c>
      <c r="P11" s="298">
        <f>'Data-OLD'!$K11+'Data-OLD'!$L11+'Data-OLD'!$M11+'Data-OLD'!$N11+'Data-OLD'!$O11</f>
        <v>59766.3</v>
      </c>
    </row>
    <row r="12" spans="1:16" x14ac:dyDescent="0.25">
      <c r="A12" s="297">
        <v>11</v>
      </c>
      <c r="B12" s="344" t="s">
        <v>83</v>
      </c>
      <c r="C12" s="294">
        <v>1212502</v>
      </c>
      <c r="D12" s="294">
        <v>0</v>
      </c>
      <c r="E12" s="294">
        <f>'Data-OLD'!$C12+'Data-OLD'!$D12</f>
        <v>1212502</v>
      </c>
      <c r="F12" s="294">
        <v>17900</v>
      </c>
      <c r="G12" s="294">
        <v>0</v>
      </c>
      <c r="H12" s="294">
        <v>0</v>
      </c>
      <c r="I12" s="294">
        <v>0</v>
      </c>
      <c r="J12" s="294">
        <v>0</v>
      </c>
      <c r="K12" s="294">
        <f>SUM('Data-OLD'!$F12:$J12)</f>
        <v>17900</v>
      </c>
      <c r="L12" s="294">
        <v>315</v>
      </c>
      <c r="M12" s="294">
        <v>150</v>
      </c>
      <c r="N12" s="294">
        <v>43950</v>
      </c>
      <c r="O12" s="296">
        <f>SUM('Data-OLD'!$K12+'Data-OLD'!$L12+'Data-OLD'!$M12)*18%+'Data-OLD'!$N12*12%</f>
        <v>8579.7000000000007</v>
      </c>
      <c r="P12" s="298">
        <f>'Data-OLD'!$K12+'Data-OLD'!$L12+'Data-OLD'!$M12+'Data-OLD'!$N12+'Data-OLD'!$O12</f>
        <v>70894.7</v>
      </c>
    </row>
    <row r="13" spans="1:16" x14ac:dyDescent="0.25">
      <c r="A13" s="297">
        <v>12</v>
      </c>
      <c r="B13" s="293" t="s">
        <v>86</v>
      </c>
      <c r="C13" s="294">
        <v>450000</v>
      </c>
      <c r="D13" s="294">
        <v>0</v>
      </c>
      <c r="E13" s="294">
        <f>'Data-OLD'!$C13+'Data-OLD'!$D13</f>
        <v>450000</v>
      </c>
      <c r="F13" s="294">
        <v>722</v>
      </c>
      <c r="G13" s="294">
        <v>0</v>
      </c>
      <c r="H13" s="294">
        <v>0</v>
      </c>
      <c r="I13" s="294">
        <v>0</v>
      </c>
      <c r="J13" s="294">
        <v>0</v>
      </c>
      <c r="K13" s="294">
        <f>SUM('Data-OLD'!$F13:$J13)</f>
        <v>722</v>
      </c>
      <c r="L13" s="294">
        <v>75</v>
      </c>
      <c r="M13" s="294">
        <v>75</v>
      </c>
      <c r="N13" s="294">
        <v>43950</v>
      </c>
      <c r="O13" s="296">
        <f>SUM('Data-OLD'!$K13+'Data-OLD'!$L13+'Data-OLD'!$M13)*18%+'Data-OLD'!$N13*12%</f>
        <v>5430.96</v>
      </c>
      <c r="P13" s="298">
        <f>'Data-OLD'!$K13+'Data-OLD'!$L13+'Data-OLD'!$M13+'Data-OLD'!$N13+'Data-OLD'!$O13</f>
        <v>50252.959999999999</v>
      </c>
    </row>
    <row r="14" spans="1:16" x14ac:dyDescent="0.25">
      <c r="A14" s="297">
        <v>13</v>
      </c>
      <c r="B14" s="293" t="s">
        <v>91</v>
      </c>
      <c r="C14" s="294">
        <v>530000</v>
      </c>
      <c r="D14" s="294">
        <v>0</v>
      </c>
      <c r="E14" s="294">
        <f>'Data-OLD'!$C14+'Data-OLD'!$D14</f>
        <v>530000</v>
      </c>
      <c r="F14" s="294">
        <v>1077</v>
      </c>
      <c r="G14" s="294">
        <v>0</v>
      </c>
      <c r="H14" s="294">
        <v>0</v>
      </c>
      <c r="I14" s="294">
        <v>0</v>
      </c>
      <c r="J14" s="294">
        <v>0</v>
      </c>
      <c r="K14" s="294">
        <f>SUM('Data-OLD'!$F14:$J14)</f>
        <v>1077</v>
      </c>
      <c r="L14" s="294">
        <v>75</v>
      </c>
      <c r="M14" s="294">
        <v>75</v>
      </c>
      <c r="N14" s="294">
        <v>43950</v>
      </c>
      <c r="O14" s="296">
        <f>SUM('Data-OLD'!$K14+'Data-OLD'!$L14+'Data-OLD'!$M14)*18%+'Data-OLD'!$N14*12%</f>
        <v>5494.86</v>
      </c>
      <c r="P14" s="298">
        <f>'Data-OLD'!$K14+'Data-OLD'!$L14+'Data-OLD'!$M14+'Data-OLD'!$N14+'Data-OLD'!$O14</f>
        <v>50671.86</v>
      </c>
    </row>
    <row r="15" spans="1:16" x14ac:dyDescent="0.25">
      <c r="A15" s="297">
        <v>14</v>
      </c>
      <c r="B15" s="344" t="s">
        <v>112</v>
      </c>
      <c r="C15" s="294">
        <v>1300000</v>
      </c>
      <c r="D15" s="294">
        <v>1100000</v>
      </c>
      <c r="E15" s="294">
        <f>'Data-OLD'!$C15+'Data-OLD'!$D15</f>
        <v>2400000</v>
      </c>
      <c r="F15" s="294">
        <v>4293</v>
      </c>
      <c r="G15" s="294">
        <v>0</v>
      </c>
      <c r="H15" s="294">
        <v>0</v>
      </c>
      <c r="I15" s="294">
        <v>60</v>
      </c>
      <c r="J15" s="294">
        <v>0</v>
      </c>
      <c r="K15" s="294">
        <f>SUM('Data-OLD'!$F15:$J15)</f>
        <v>4353</v>
      </c>
      <c r="L15" s="294">
        <v>75</v>
      </c>
      <c r="M15" s="294">
        <v>75</v>
      </c>
      <c r="N15" s="294">
        <v>43950</v>
      </c>
      <c r="O15" s="296">
        <f>SUM('Data-OLD'!$K15+'Data-OLD'!$L15+'Data-OLD'!$M15)*18%+'Data-OLD'!$N15*12%</f>
        <v>6084.54</v>
      </c>
      <c r="P15" s="298">
        <f>'Data-OLD'!$K15+'Data-OLD'!$L15+'Data-OLD'!$M15+'Data-OLD'!$N15+'Data-OLD'!$O15</f>
        <v>54537.54</v>
      </c>
    </row>
    <row r="16" spans="1:16" x14ac:dyDescent="0.25">
      <c r="A16" s="297">
        <v>15</v>
      </c>
      <c r="B16" s="293" t="s">
        <v>94</v>
      </c>
      <c r="C16" s="294">
        <v>487000</v>
      </c>
      <c r="D16" s="294">
        <v>0</v>
      </c>
      <c r="E16" s="294">
        <f>'Data-OLD'!$C16+'Data-OLD'!$D16</f>
        <v>487000</v>
      </c>
      <c r="F16" s="294">
        <v>1495</v>
      </c>
      <c r="G16" s="294">
        <v>0</v>
      </c>
      <c r="H16" s="294">
        <v>0</v>
      </c>
      <c r="I16" s="294">
        <v>0</v>
      </c>
      <c r="J16" s="294">
        <v>0</v>
      </c>
      <c r="K16" s="294">
        <f>SUM('Data-OLD'!$F16:$J16)</f>
        <v>1495</v>
      </c>
      <c r="L16" s="294">
        <v>75</v>
      </c>
      <c r="M16" s="294">
        <v>75</v>
      </c>
      <c r="N16" s="294">
        <v>43950</v>
      </c>
      <c r="O16" s="296">
        <f>SUM('Data-OLD'!$K16+'Data-OLD'!$L16+'Data-OLD'!$M16)*18%+'Data-OLD'!$N16*12%</f>
        <v>5570.1</v>
      </c>
      <c r="P16" s="298">
        <f>'Data-OLD'!$K16+'Data-OLD'!$L16+'Data-OLD'!$M16+'Data-OLD'!$N16+'Data-OLD'!$O16</f>
        <v>51165.1</v>
      </c>
    </row>
    <row r="17" spans="1:16" x14ac:dyDescent="0.25">
      <c r="A17" s="297">
        <v>16</v>
      </c>
      <c r="B17" s="344" t="s">
        <v>107</v>
      </c>
      <c r="C17" s="294">
        <v>1440000</v>
      </c>
      <c r="D17" s="294">
        <v>0</v>
      </c>
      <c r="E17" s="294">
        <f>'Data-OLD'!$C17+'Data-OLD'!$D17</f>
        <v>1440000</v>
      </c>
      <c r="F17" s="294">
        <f>2635+3600</f>
        <v>6235</v>
      </c>
      <c r="G17" s="294">
        <v>507</v>
      </c>
      <c r="H17" s="294">
        <v>0</v>
      </c>
      <c r="I17" s="294">
        <v>743</v>
      </c>
      <c r="J17" s="294">
        <v>-971</v>
      </c>
      <c r="K17" s="294">
        <f>SUM('Data-OLD'!$F17:$J17)</f>
        <v>6514</v>
      </c>
      <c r="L17" s="294">
        <v>120</v>
      </c>
      <c r="M17" s="294">
        <v>100</v>
      </c>
      <c r="N17" s="294">
        <v>43950</v>
      </c>
      <c r="O17" s="296">
        <f>SUM('Data-OLD'!$K17+'Data-OLD'!$L17+'Data-OLD'!$M17)*18%+'Data-OLD'!$N17*12%</f>
        <v>6486.12</v>
      </c>
      <c r="P17" s="298">
        <f>'Data-OLD'!$K17+'Data-OLD'!$L17+'Data-OLD'!$M17+'Data-OLD'!$N17+'Data-OLD'!$O17</f>
        <v>57170.12</v>
      </c>
    </row>
    <row r="18" spans="1:16" x14ac:dyDescent="0.25">
      <c r="A18" s="297">
        <v>17</v>
      </c>
      <c r="B18" s="293" t="s">
        <v>90</v>
      </c>
      <c r="C18" s="294">
        <v>440000</v>
      </c>
      <c r="D18" s="294">
        <v>0</v>
      </c>
      <c r="E18" s="294">
        <f>'Data-OLD'!$C18+'Data-OLD'!$D18</f>
        <v>440000</v>
      </c>
      <c r="F18" s="294">
        <v>1328</v>
      </c>
      <c r="G18" s="294">
        <v>0</v>
      </c>
      <c r="H18" s="294">
        <v>0</v>
      </c>
      <c r="I18" s="294">
        <v>0</v>
      </c>
      <c r="J18" s="294">
        <v>0</v>
      </c>
      <c r="K18" s="294">
        <f>SUM('Data-OLD'!$F18:$J18)</f>
        <v>1328</v>
      </c>
      <c r="L18" s="294">
        <v>75</v>
      </c>
      <c r="M18" s="294">
        <v>75</v>
      </c>
      <c r="N18" s="294">
        <v>43950</v>
      </c>
      <c r="O18" s="296">
        <f>SUM('Data-OLD'!$K18+'Data-OLD'!$L18+'Data-OLD'!$M18)*18%+'Data-OLD'!$N18*12%</f>
        <v>5540.04</v>
      </c>
      <c r="P18" s="298">
        <f>'Data-OLD'!$K18+'Data-OLD'!$L18+'Data-OLD'!$M18+'Data-OLD'!$N18+'Data-OLD'!$O18</f>
        <v>50968.04</v>
      </c>
    </row>
    <row r="19" spans="1:16" x14ac:dyDescent="0.25">
      <c r="A19" s="297">
        <v>18</v>
      </c>
      <c r="B19" s="293" t="s">
        <v>105</v>
      </c>
      <c r="C19" s="294">
        <v>900000</v>
      </c>
      <c r="D19" s="294">
        <v>0</v>
      </c>
      <c r="E19" s="294">
        <f>'Data-OLD'!$C19+'Data-OLD'!$D19</f>
        <v>900000</v>
      </c>
      <c r="F19" s="294">
        <v>1467</v>
      </c>
      <c r="G19" s="294">
        <v>0</v>
      </c>
      <c r="H19" s="294">
        <v>0</v>
      </c>
      <c r="I19" s="294">
        <v>0</v>
      </c>
      <c r="J19" s="294">
        <v>0</v>
      </c>
      <c r="K19" s="294">
        <f>SUM('Data-OLD'!$F19:$J19)</f>
        <v>1467</v>
      </c>
      <c r="L19" s="294">
        <v>50</v>
      </c>
      <c r="M19" s="294">
        <v>0</v>
      </c>
      <c r="N19" s="294">
        <v>44242</v>
      </c>
      <c r="O19" s="296">
        <f>SUM('Data-OLD'!$K19+'Data-OLD'!$L19+'Data-OLD'!$M19)*18%+'Data-OLD'!$N19*12%</f>
        <v>5582.1</v>
      </c>
      <c r="P19" s="298">
        <f>'Data-OLD'!$K19+'Data-OLD'!$L19+'Data-OLD'!$M19+'Data-OLD'!$N19+'Data-OLD'!$O19</f>
        <v>51341.1</v>
      </c>
    </row>
    <row r="20" spans="1:16" x14ac:dyDescent="0.25">
      <c r="A20" s="297">
        <v>19</v>
      </c>
      <c r="B20" s="293" t="s">
        <v>89</v>
      </c>
      <c r="C20" s="294">
        <v>455000</v>
      </c>
      <c r="D20" s="294">
        <v>0</v>
      </c>
      <c r="E20" s="294">
        <f>'Data-OLD'!$C20+'Data-OLD'!$D20</f>
        <v>455000</v>
      </c>
      <c r="F20" s="294">
        <v>1802</v>
      </c>
      <c r="G20" s="294">
        <v>0</v>
      </c>
      <c r="H20" s="294">
        <v>0</v>
      </c>
      <c r="I20" s="294">
        <v>0</v>
      </c>
      <c r="J20" s="294">
        <v>-631</v>
      </c>
      <c r="K20" s="294">
        <f>SUM('Data-OLD'!$F20:$J20)</f>
        <v>1171</v>
      </c>
      <c r="L20" s="294">
        <v>50</v>
      </c>
      <c r="M20" s="294">
        <v>50</v>
      </c>
      <c r="N20" s="294">
        <v>43950</v>
      </c>
      <c r="O20" s="296">
        <f>SUM('Data-OLD'!$K20+'Data-OLD'!$L20+'Data-OLD'!$M20)*18%+'Data-OLD'!$N20*12%</f>
        <v>5502.78</v>
      </c>
      <c r="P20" s="298">
        <f>'Data-OLD'!$K20+'Data-OLD'!$L20+'Data-OLD'!$M20+'Data-OLD'!$N20+'Data-OLD'!$O20</f>
        <v>50723.78</v>
      </c>
    </row>
    <row r="21" spans="1:16" x14ac:dyDescent="0.25">
      <c r="A21" s="297">
        <v>20</v>
      </c>
      <c r="B21" s="293" t="s">
        <v>87</v>
      </c>
      <c r="C21" s="294">
        <v>481000</v>
      </c>
      <c r="D21" s="294">
        <v>0</v>
      </c>
      <c r="E21" s="294">
        <f>'Data-OLD'!$C21+'Data-OLD'!$D21</f>
        <v>481000</v>
      </c>
      <c r="F21" s="294">
        <v>2249</v>
      </c>
      <c r="G21" s="294">
        <v>0</v>
      </c>
      <c r="H21" s="294">
        <v>0</v>
      </c>
      <c r="I21" s="294">
        <v>0</v>
      </c>
      <c r="J21" s="294">
        <v>-1124</v>
      </c>
      <c r="K21" s="294">
        <f>SUM('Data-OLD'!$F21:$J21)</f>
        <v>1125</v>
      </c>
      <c r="L21" s="294">
        <v>275</v>
      </c>
      <c r="M21" s="294">
        <v>275</v>
      </c>
      <c r="N21" s="294">
        <v>43950</v>
      </c>
      <c r="O21" s="296">
        <f>SUM('Data-OLD'!$K21+'Data-OLD'!$L21+'Data-OLD'!$M21)*18%+'Data-OLD'!$N21*12%</f>
        <v>5575.5</v>
      </c>
      <c r="P21" s="298">
        <f>'Data-OLD'!$K21+'Data-OLD'!$L21+'Data-OLD'!$M21+'Data-OLD'!$N21+'Data-OLD'!$O21</f>
        <v>51200.5</v>
      </c>
    </row>
    <row r="22" spans="1:16" x14ac:dyDescent="0.25">
      <c r="A22" s="297">
        <v>21</v>
      </c>
      <c r="B22" s="293" t="s">
        <v>101</v>
      </c>
      <c r="C22" s="294">
        <v>1200000</v>
      </c>
      <c r="D22" s="294">
        <v>0</v>
      </c>
      <c r="E22" s="294">
        <f>'Data-OLD'!$C22+'Data-OLD'!$D22</f>
        <v>1200000</v>
      </c>
      <c r="F22" s="294">
        <v>2411</v>
      </c>
      <c r="G22" s="294">
        <v>0</v>
      </c>
      <c r="H22" s="294">
        <v>0</v>
      </c>
      <c r="I22" s="294">
        <v>0</v>
      </c>
      <c r="J22" s="294">
        <v>0</v>
      </c>
      <c r="K22" s="294">
        <f>SUM('Data-OLD'!$F22:$J22)</f>
        <v>2411</v>
      </c>
      <c r="L22" s="294">
        <v>75</v>
      </c>
      <c r="M22" s="294">
        <v>75</v>
      </c>
      <c r="N22" s="294">
        <v>43950</v>
      </c>
      <c r="O22" s="296">
        <f>SUM('Data-OLD'!$K22+'Data-OLD'!$L22+'Data-OLD'!$M22)*18%+'Data-OLD'!$N22*12%</f>
        <v>5734.98</v>
      </c>
      <c r="P22" s="298">
        <f>'Data-OLD'!$K22+'Data-OLD'!$L22+'Data-OLD'!$M22+'Data-OLD'!$N22+'Data-OLD'!$O22</f>
        <v>52245.979999999996</v>
      </c>
    </row>
    <row r="23" spans="1:16" x14ac:dyDescent="0.25">
      <c r="A23" s="297">
        <v>22</v>
      </c>
      <c r="B23" s="293" t="s">
        <v>108</v>
      </c>
      <c r="C23" s="294">
        <v>2089500</v>
      </c>
      <c r="D23" s="294">
        <v>0</v>
      </c>
      <c r="E23" s="294">
        <f>'Data-OLD'!$C23+'Data-OLD'!$D23</f>
        <v>2089500</v>
      </c>
      <c r="F23" s="294">
        <v>8091</v>
      </c>
      <c r="G23" s="294">
        <v>0</v>
      </c>
      <c r="H23" s="294">
        <v>0</v>
      </c>
      <c r="I23" s="294">
        <v>0</v>
      </c>
      <c r="J23" s="294">
        <v>0</v>
      </c>
      <c r="K23" s="294">
        <f>SUM('Data-OLD'!$F23:$J23)</f>
        <v>8091</v>
      </c>
      <c r="L23" s="294">
        <v>50</v>
      </c>
      <c r="M23" s="294">
        <v>50</v>
      </c>
      <c r="N23" s="294">
        <v>44242</v>
      </c>
      <c r="O23" s="296">
        <f>SUM('Data-OLD'!$K23+'Data-OLD'!$L23+'Data-OLD'!$M23)*18%+'Data-OLD'!$N23*12%</f>
        <v>6783.42</v>
      </c>
      <c r="P23" s="298">
        <f>'Data-OLD'!$K23+'Data-OLD'!$L23+'Data-OLD'!$M23+'Data-OLD'!$N23+'Data-OLD'!$O23</f>
        <v>59216.42</v>
      </c>
    </row>
    <row r="24" spans="1:16" x14ac:dyDescent="0.25">
      <c r="A24" s="297">
        <v>23</v>
      </c>
      <c r="B24" s="344" t="s">
        <v>102</v>
      </c>
      <c r="C24" s="294">
        <v>1080257</v>
      </c>
      <c r="D24" s="294">
        <v>0</v>
      </c>
      <c r="E24" s="294">
        <f>'Data-OLD'!$C24+'Data-OLD'!$D24</f>
        <v>1080257</v>
      </c>
      <c r="F24" s="294">
        <v>1977</v>
      </c>
      <c r="G24" s="294">
        <v>408</v>
      </c>
      <c r="H24" s="294">
        <v>0</v>
      </c>
      <c r="I24" s="294">
        <v>743</v>
      </c>
      <c r="J24" s="294">
        <v>-625</v>
      </c>
      <c r="K24" s="294">
        <f>SUM('Data-OLD'!$F24:$J24)</f>
        <v>2503</v>
      </c>
      <c r="L24" s="294">
        <v>50</v>
      </c>
      <c r="M24" s="294">
        <v>50</v>
      </c>
      <c r="N24" s="294">
        <v>43950</v>
      </c>
      <c r="O24" s="296">
        <f>SUM('Data-OLD'!$K24+'Data-OLD'!$L24+'Data-OLD'!$M24)*18%+'Data-OLD'!$N24*12%</f>
        <v>5742.54</v>
      </c>
      <c r="P24" s="298">
        <f>'Data-OLD'!$K24+'Data-OLD'!$L24+'Data-OLD'!$M24+'Data-OLD'!$N24+'Data-OLD'!$O24</f>
        <v>52295.54</v>
      </c>
    </row>
    <row r="25" spans="1:16" x14ac:dyDescent="0.25">
      <c r="A25" s="297">
        <v>24</v>
      </c>
      <c r="B25" s="293" t="s">
        <v>110</v>
      </c>
      <c r="C25" s="294">
        <v>1500000</v>
      </c>
      <c r="D25" s="294">
        <v>0</v>
      </c>
      <c r="E25" s="294">
        <f>'Data-OLD'!$C25+'Data-OLD'!$D25</f>
        <v>1500000</v>
      </c>
      <c r="F25" s="294">
        <v>4197</v>
      </c>
      <c r="G25" s="294">
        <v>0</v>
      </c>
      <c r="H25" s="294">
        <v>0</v>
      </c>
      <c r="I25" s="294">
        <v>0</v>
      </c>
      <c r="J25" s="294">
        <v>0</v>
      </c>
      <c r="K25" s="294">
        <f>SUM('Data-OLD'!$F25:$J25)</f>
        <v>4197</v>
      </c>
      <c r="L25" s="294">
        <v>110</v>
      </c>
      <c r="M25" s="294">
        <v>110</v>
      </c>
      <c r="N25" s="294">
        <v>44242</v>
      </c>
      <c r="O25" s="296">
        <f>SUM('Data-OLD'!$K25+'Data-OLD'!$L25+'Data-OLD'!$M25)*18%+'Data-OLD'!$N25*12%</f>
        <v>6104.1</v>
      </c>
      <c r="P25" s="298">
        <f>'Data-OLD'!$K25+'Data-OLD'!$L25+'Data-OLD'!$M25+'Data-OLD'!$N25+'Data-OLD'!$O25</f>
        <v>54763.1</v>
      </c>
    </row>
    <row r="26" spans="1:16" x14ac:dyDescent="0.25">
      <c r="A26" s="297">
        <v>25</v>
      </c>
      <c r="B26" s="293" t="s">
        <v>104</v>
      </c>
      <c r="C26" s="294">
        <v>1100000</v>
      </c>
      <c r="D26" s="294">
        <v>0</v>
      </c>
      <c r="E26" s="294">
        <f>'Data-OLD'!$C26+'Data-OLD'!$D26</f>
        <v>1100000</v>
      </c>
      <c r="F26" s="294">
        <v>1678</v>
      </c>
      <c r="G26" s="294">
        <v>0</v>
      </c>
      <c r="H26" s="294">
        <v>0</v>
      </c>
      <c r="I26" s="294">
        <v>0</v>
      </c>
      <c r="J26" s="294">
        <v>0</v>
      </c>
      <c r="K26" s="294">
        <f>SUM('Data-OLD'!$F26:$J26)</f>
        <v>1678</v>
      </c>
      <c r="L26" s="294">
        <v>110</v>
      </c>
      <c r="M26" s="294">
        <v>110</v>
      </c>
      <c r="N26" s="294">
        <v>44242</v>
      </c>
      <c r="O26" s="296">
        <f>SUM('Data-OLD'!$K26+'Data-OLD'!$L26+'Data-OLD'!$M26)*18%+'Data-OLD'!$N26*12%</f>
        <v>5650.68</v>
      </c>
      <c r="P26" s="298">
        <f>'Data-OLD'!$K26+'Data-OLD'!$L26+'Data-OLD'!$M26+'Data-OLD'!$N26+'Data-OLD'!$O26</f>
        <v>51790.68</v>
      </c>
    </row>
    <row r="27" spans="1:16" x14ac:dyDescent="0.25">
      <c r="A27" s="297">
        <v>26</v>
      </c>
      <c r="B27" s="293" t="s">
        <v>106</v>
      </c>
      <c r="C27" s="294">
        <v>1100000</v>
      </c>
      <c r="D27" s="294">
        <v>0</v>
      </c>
      <c r="E27" s="294">
        <f>'Data-OLD'!$C27+'Data-OLD'!$D27</f>
        <v>1100000</v>
      </c>
      <c r="F27" s="294">
        <v>2377</v>
      </c>
      <c r="G27" s="294">
        <v>0</v>
      </c>
      <c r="H27" s="294">
        <v>0</v>
      </c>
      <c r="I27" s="294">
        <v>0</v>
      </c>
      <c r="J27" s="294">
        <v>0</v>
      </c>
      <c r="K27" s="294">
        <f>SUM('Data-OLD'!$F27:$J27)</f>
        <v>2377</v>
      </c>
      <c r="L27" s="294">
        <v>50</v>
      </c>
      <c r="M27" s="294">
        <v>50</v>
      </c>
      <c r="N27" s="294">
        <v>43950</v>
      </c>
      <c r="O27" s="296">
        <f>SUM('Data-OLD'!$K27+'Data-OLD'!$L27+'Data-OLD'!$M27)*18%+'Data-OLD'!$N27*12%</f>
        <v>5719.86</v>
      </c>
      <c r="P27" s="298">
        <f>'Data-OLD'!$K27+'Data-OLD'!$L27+'Data-OLD'!$M27+'Data-OLD'!$N27+'Data-OLD'!$O27</f>
        <v>52146.86</v>
      </c>
    </row>
    <row r="28" spans="1:16" x14ac:dyDescent="0.25">
      <c r="A28" s="297">
        <v>27</v>
      </c>
      <c r="B28" s="293"/>
      <c r="C28" s="294">
        <v>0</v>
      </c>
      <c r="D28" s="294">
        <v>0</v>
      </c>
      <c r="E28" s="294">
        <f>'Data-OLD'!$C28+'Data-OLD'!$D28</f>
        <v>0</v>
      </c>
      <c r="F28" s="294">
        <v>0</v>
      </c>
      <c r="G28" s="294">
        <v>0</v>
      </c>
      <c r="H28" s="294">
        <v>0</v>
      </c>
      <c r="I28" s="294">
        <v>0</v>
      </c>
      <c r="J28" s="294">
        <v>0</v>
      </c>
      <c r="K28" s="294">
        <f>SUM('Data-OLD'!$F28:$J28)</f>
        <v>0</v>
      </c>
      <c r="L28" s="294">
        <v>0</v>
      </c>
      <c r="M28" s="294">
        <v>0</v>
      </c>
      <c r="N28" s="294">
        <v>0</v>
      </c>
      <c r="O28" s="296">
        <f>SUM('Data-OLD'!$K28+'Data-OLD'!$L28+'Data-OLD'!$M28)*18%+'Data-OLD'!$N28*12%</f>
        <v>0</v>
      </c>
      <c r="P28" s="298">
        <f>'Data-OLD'!$K28+'Data-OLD'!$L28+'Data-OLD'!$M28+'Data-OLD'!$N28+'Data-OLD'!$O28</f>
        <v>0</v>
      </c>
    </row>
    <row r="29" spans="1:16" x14ac:dyDescent="0.25">
      <c r="A29" s="297">
        <v>28</v>
      </c>
      <c r="B29" s="293"/>
      <c r="C29" s="294">
        <v>0</v>
      </c>
      <c r="D29" s="294">
        <v>0</v>
      </c>
      <c r="E29" s="294">
        <f>'Data-OLD'!$C29+'Data-OLD'!$D29</f>
        <v>0</v>
      </c>
      <c r="F29" s="294">
        <v>0</v>
      </c>
      <c r="G29" s="294">
        <v>0</v>
      </c>
      <c r="H29" s="294">
        <v>0</v>
      </c>
      <c r="I29" s="294">
        <v>0</v>
      </c>
      <c r="J29" s="294">
        <v>0</v>
      </c>
      <c r="K29" s="294">
        <f>SUM('Data-OLD'!$F29:$J29)</f>
        <v>0</v>
      </c>
      <c r="L29" s="294">
        <v>0</v>
      </c>
      <c r="M29" s="294">
        <v>0</v>
      </c>
      <c r="N29" s="294">
        <v>0</v>
      </c>
      <c r="O29" s="296">
        <f>SUM('Data-OLD'!$K29+'Data-OLD'!$L29+'Data-OLD'!$M29)*18%+'Data-OLD'!$N29*12%</f>
        <v>0</v>
      </c>
      <c r="P29" s="298">
        <f>'Data-OLD'!$K29+'Data-OLD'!$L29+'Data-OLD'!$M29+'Data-OLD'!$N29+'Data-OLD'!$O29</f>
        <v>0</v>
      </c>
    </row>
    <row r="30" spans="1:16" x14ac:dyDescent="0.25">
      <c r="A30" s="297">
        <v>29</v>
      </c>
      <c r="B30" s="293"/>
      <c r="C30" s="294">
        <v>0</v>
      </c>
      <c r="D30" s="294">
        <v>0</v>
      </c>
      <c r="E30" s="294">
        <f>'Data-OLD'!$C30+'Data-OLD'!$D30</f>
        <v>0</v>
      </c>
      <c r="F30" s="294">
        <v>0</v>
      </c>
      <c r="G30" s="294">
        <v>0</v>
      </c>
      <c r="H30" s="294">
        <v>0</v>
      </c>
      <c r="I30" s="294">
        <v>0</v>
      </c>
      <c r="J30" s="294">
        <v>0</v>
      </c>
      <c r="K30" s="294">
        <f>SUM('Data-OLD'!$F30:$J30)</f>
        <v>0</v>
      </c>
      <c r="L30" s="294">
        <v>0</v>
      </c>
      <c r="M30" s="294">
        <v>0</v>
      </c>
      <c r="N30" s="294">
        <v>0</v>
      </c>
      <c r="O30" s="296">
        <f>SUM('Data-OLD'!$K30+'Data-OLD'!$L30+'Data-OLD'!$M30)*18%+'Data-OLD'!$N30*12%</f>
        <v>0</v>
      </c>
      <c r="P30" s="298">
        <f>'Data-OLD'!$K30+'Data-OLD'!$L30+'Data-OLD'!$M30+'Data-OLD'!$N30+'Data-OLD'!$O30</f>
        <v>0</v>
      </c>
    </row>
    <row r="31" spans="1:16" x14ac:dyDescent="0.25">
      <c r="A31" s="297">
        <v>30</v>
      </c>
      <c r="B31" s="293"/>
      <c r="C31" s="294">
        <v>0</v>
      </c>
      <c r="D31" s="294">
        <v>0</v>
      </c>
      <c r="E31" s="294">
        <f>'Data-OLD'!$C31+'Data-OLD'!$D31</f>
        <v>0</v>
      </c>
      <c r="F31" s="294">
        <v>0</v>
      </c>
      <c r="G31" s="294">
        <v>0</v>
      </c>
      <c r="H31" s="294">
        <v>0</v>
      </c>
      <c r="I31" s="294">
        <v>0</v>
      </c>
      <c r="J31" s="294">
        <v>0</v>
      </c>
      <c r="K31" s="294">
        <f>SUM('Data-OLD'!$F31:$J31)</f>
        <v>0</v>
      </c>
      <c r="L31" s="294">
        <v>0</v>
      </c>
      <c r="M31" s="294">
        <v>0</v>
      </c>
      <c r="N31" s="294">
        <v>0</v>
      </c>
      <c r="O31" s="296">
        <f>SUM('Data-OLD'!$K31+'Data-OLD'!$L31+'Data-OLD'!$M31)*18%+'Data-OLD'!$N31*12%</f>
        <v>0</v>
      </c>
      <c r="P31" s="298">
        <f>'Data-OLD'!$K31+'Data-OLD'!$L31+'Data-OLD'!$M31+'Data-OLD'!$N31+'Data-OLD'!$O31</f>
        <v>0</v>
      </c>
    </row>
    <row r="32" spans="1:16" x14ac:dyDescent="0.25">
      <c r="A32" s="297">
        <v>31</v>
      </c>
      <c r="B32" s="293"/>
      <c r="C32" s="294">
        <v>0</v>
      </c>
      <c r="D32" s="294">
        <v>0</v>
      </c>
      <c r="E32" s="294">
        <f>'Data-OLD'!$C32+'Data-OLD'!$D32</f>
        <v>0</v>
      </c>
      <c r="F32" s="294">
        <v>0</v>
      </c>
      <c r="G32" s="294">
        <v>0</v>
      </c>
      <c r="H32" s="294">
        <v>0</v>
      </c>
      <c r="I32" s="294">
        <v>0</v>
      </c>
      <c r="J32" s="294">
        <v>0</v>
      </c>
      <c r="K32" s="294">
        <f>SUM('Data-OLD'!$F32:$J32)</f>
        <v>0</v>
      </c>
      <c r="L32" s="294">
        <v>0</v>
      </c>
      <c r="M32" s="294">
        <v>0</v>
      </c>
      <c r="N32" s="294">
        <v>0</v>
      </c>
      <c r="O32" s="296">
        <f>SUM('Data-OLD'!$K32+'Data-OLD'!$L32+'Data-OLD'!$M32)*18%+'Data-OLD'!$N32*12%</f>
        <v>0</v>
      </c>
      <c r="P32" s="298">
        <f>'Data-OLD'!$K32+'Data-OLD'!$L32+'Data-OLD'!$M32+'Data-OLD'!$N32+'Data-OLD'!$O32</f>
        <v>0</v>
      </c>
    </row>
    <row r="33" spans="1:16" x14ac:dyDescent="0.25">
      <c r="A33" s="297">
        <v>32</v>
      </c>
      <c r="B33" s="293"/>
      <c r="C33" s="294">
        <v>0</v>
      </c>
      <c r="D33" s="294">
        <v>0</v>
      </c>
      <c r="E33" s="294">
        <f>'Data-OLD'!$C33+'Data-OLD'!$D33</f>
        <v>0</v>
      </c>
      <c r="F33" s="294">
        <v>0</v>
      </c>
      <c r="G33" s="294">
        <v>0</v>
      </c>
      <c r="H33" s="294">
        <v>0</v>
      </c>
      <c r="I33" s="294">
        <v>0</v>
      </c>
      <c r="J33" s="294">
        <v>0</v>
      </c>
      <c r="K33" s="294">
        <f>SUM('Data-OLD'!$F33:$J33)</f>
        <v>0</v>
      </c>
      <c r="L33" s="294">
        <v>0</v>
      </c>
      <c r="M33" s="294">
        <v>0</v>
      </c>
      <c r="N33" s="294">
        <v>0</v>
      </c>
      <c r="O33" s="296">
        <f>SUM('Data-OLD'!$K33+'Data-OLD'!$L33+'Data-OLD'!$M33)*18%+'Data-OLD'!$N33*12%</f>
        <v>0</v>
      </c>
      <c r="P33" s="298">
        <f>'Data-OLD'!$K33+'Data-OLD'!$L33+'Data-OLD'!$M33+'Data-OLD'!$N33+'Data-OLD'!$O33</f>
        <v>0</v>
      </c>
    </row>
    <row r="34" spans="1:16" x14ac:dyDescent="0.25">
      <c r="A34" s="297">
        <v>33</v>
      </c>
      <c r="B34" s="293"/>
      <c r="C34" s="294">
        <v>0</v>
      </c>
      <c r="D34" s="294">
        <v>0</v>
      </c>
      <c r="E34" s="294">
        <f>'Data-OLD'!$C34+'Data-OLD'!$D34</f>
        <v>0</v>
      </c>
      <c r="F34" s="294">
        <v>0</v>
      </c>
      <c r="G34" s="294">
        <v>0</v>
      </c>
      <c r="H34" s="294">
        <v>0</v>
      </c>
      <c r="I34" s="294">
        <v>0</v>
      </c>
      <c r="J34" s="294">
        <v>0</v>
      </c>
      <c r="K34" s="294">
        <f>SUM('Data-OLD'!$F34:$J34)</f>
        <v>0</v>
      </c>
      <c r="L34" s="294">
        <v>0</v>
      </c>
      <c r="M34" s="294">
        <v>0</v>
      </c>
      <c r="N34" s="294">
        <v>0</v>
      </c>
      <c r="O34" s="296">
        <f>SUM('Data-OLD'!$K34+'Data-OLD'!$L34+'Data-OLD'!$M34)*18%+'Data-OLD'!$N34*12%</f>
        <v>0</v>
      </c>
      <c r="P34" s="298">
        <f>'Data-OLD'!$K34+'Data-OLD'!$L34+'Data-OLD'!$M34+'Data-OLD'!$N34+'Data-OLD'!$O34</f>
        <v>0</v>
      </c>
    </row>
    <row r="35" spans="1:16" x14ac:dyDescent="0.25">
      <c r="A35" s="297">
        <v>34</v>
      </c>
      <c r="B35" s="293"/>
      <c r="C35" s="294">
        <v>0</v>
      </c>
      <c r="D35" s="294">
        <v>0</v>
      </c>
      <c r="E35" s="294">
        <f>'Data-OLD'!$C35+'Data-OLD'!$D35</f>
        <v>0</v>
      </c>
      <c r="F35" s="294">
        <v>0</v>
      </c>
      <c r="G35" s="294">
        <v>0</v>
      </c>
      <c r="H35" s="294">
        <v>0</v>
      </c>
      <c r="I35" s="294">
        <v>0</v>
      </c>
      <c r="J35" s="294">
        <v>0</v>
      </c>
      <c r="K35" s="294">
        <f>SUM('Data-OLD'!$F35:$J35)</f>
        <v>0</v>
      </c>
      <c r="L35" s="294">
        <v>0</v>
      </c>
      <c r="M35" s="294">
        <v>0</v>
      </c>
      <c r="N35" s="294">
        <v>0</v>
      </c>
      <c r="O35" s="296">
        <f>SUM('Data-OLD'!$K35+'Data-OLD'!$L35+'Data-OLD'!$M35)*18%+'Data-OLD'!$N35*12%</f>
        <v>0</v>
      </c>
      <c r="P35" s="298">
        <f>'Data-OLD'!$K35+'Data-OLD'!$L35+'Data-OLD'!$M35+'Data-OLD'!$N35+'Data-OLD'!$O35</f>
        <v>0</v>
      </c>
    </row>
    <row r="36" spans="1:16" x14ac:dyDescent="0.25">
      <c r="A36" s="297">
        <v>35</v>
      </c>
      <c r="B36" s="293"/>
      <c r="C36" s="294">
        <v>0</v>
      </c>
      <c r="D36" s="294">
        <v>0</v>
      </c>
      <c r="E36" s="294">
        <f>'Data-OLD'!$C36+'Data-OLD'!$D36</f>
        <v>0</v>
      </c>
      <c r="F36" s="294">
        <v>0</v>
      </c>
      <c r="G36" s="294">
        <v>0</v>
      </c>
      <c r="H36" s="294">
        <v>0</v>
      </c>
      <c r="I36" s="294">
        <v>0</v>
      </c>
      <c r="J36" s="294">
        <v>0</v>
      </c>
      <c r="K36" s="294">
        <f>SUM('Data-OLD'!$F36:$J36)</f>
        <v>0</v>
      </c>
      <c r="L36" s="294">
        <v>0</v>
      </c>
      <c r="M36" s="294">
        <v>0</v>
      </c>
      <c r="N36" s="294">
        <v>0</v>
      </c>
      <c r="O36" s="296">
        <f>SUM('Data-OLD'!$K36+'Data-OLD'!$L36+'Data-OLD'!$M36)*18%+'Data-OLD'!$N36*12%</f>
        <v>0</v>
      </c>
      <c r="P36" s="298">
        <f>'Data-OLD'!$K36+'Data-OLD'!$L36+'Data-OLD'!$M36+'Data-OLD'!$N36+'Data-OLD'!$O36</f>
        <v>0</v>
      </c>
    </row>
    <row r="37" spans="1:16" x14ac:dyDescent="0.25">
      <c r="A37" s="297">
        <v>36</v>
      </c>
      <c r="B37" s="293"/>
      <c r="C37" s="294">
        <v>0</v>
      </c>
      <c r="D37" s="294">
        <v>0</v>
      </c>
      <c r="E37" s="294">
        <f>'Data-OLD'!$C37+'Data-OLD'!$D37</f>
        <v>0</v>
      </c>
      <c r="F37" s="294">
        <v>0</v>
      </c>
      <c r="G37" s="294">
        <v>0</v>
      </c>
      <c r="H37" s="294">
        <v>0</v>
      </c>
      <c r="I37" s="294">
        <v>0</v>
      </c>
      <c r="J37" s="294">
        <v>0</v>
      </c>
      <c r="K37" s="294">
        <f>SUM('Data-OLD'!$F37:$J37)</f>
        <v>0</v>
      </c>
      <c r="L37" s="294">
        <v>0</v>
      </c>
      <c r="M37" s="294">
        <v>0</v>
      </c>
      <c r="N37" s="294">
        <v>0</v>
      </c>
      <c r="O37" s="296">
        <f>SUM('Data-OLD'!$K37+'Data-OLD'!$L37+'Data-OLD'!$M37)*18%+'Data-OLD'!$N37*12%</f>
        <v>0</v>
      </c>
      <c r="P37" s="298">
        <f>'Data-OLD'!$K37+'Data-OLD'!$L37+'Data-OLD'!$M37+'Data-OLD'!$N37+'Data-OLD'!$O37</f>
        <v>0</v>
      </c>
    </row>
    <row r="38" spans="1:16" x14ac:dyDescent="0.25">
      <c r="A38" s="297">
        <v>37</v>
      </c>
      <c r="B38" s="293"/>
      <c r="C38" s="294">
        <v>0</v>
      </c>
      <c r="D38" s="294">
        <v>0</v>
      </c>
      <c r="E38" s="294">
        <f>'Data-OLD'!$C38+'Data-OLD'!$D38</f>
        <v>0</v>
      </c>
      <c r="F38" s="294">
        <v>0</v>
      </c>
      <c r="G38" s="294">
        <v>0</v>
      </c>
      <c r="H38" s="294">
        <v>0</v>
      </c>
      <c r="I38" s="294">
        <v>0</v>
      </c>
      <c r="J38" s="294">
        <v>0</v>
      </c>
      <c r="K38" s="294">
        <f>SUM('Data-OLD'!$F38:$J38)</f>
        <v>0</v>
      </c>
      <c r="L38" s="294">
        <v>0</v>
      </c>
      <c r="M38" s="294">
        <v>0</v>
      </c>
      <c r="N38" s="294">
        <v>0</v>
      </c>
      <c r="O38" s="296">
        <f>SUM('Data-OLD'!$K38+'Data-OLD'!$L38+'Data-OLD'!$M38)*18%+'Data-OLD'!$N38*12%</f>
        <v>0</v>
      </c>
      <c r="P38" s="298">
        <f>'Data-OLD'!$K38+'Data-OLD'!$L38+'Data-OLD'!$M38+'Data-OLD'!$N38+'Data-OLD'!$O38</f>
        <v>0</v>
      </c>
    </row>
    <row r="39" spans="1:16" x14ac:dyDescent="0.25">
      <c r="A39" s="297">
        <v>38</v>
      </c>
      <c r="B39" s="293"/>
      <c r="C39" s="294">
        <v>0</v>
      </c>
      <c r="D39" s="294">
        <v>0</v>
      </c>
      <c r="E39" s="294">
        <f>'Data-OLD'!$C39+'Data-OLD'!$D39</f>
        <v>0</v>
      </c>
      <c r="F39" s="294">
        <v>0</v>
      </c>
      <c r="G39" s="294">
        <v>0</v>
      </c>
      <c r="H39" s="294">
        <v>0</v>
      </c>
      <c r="I39" s="294">
        <v>0</v>
      </c>
      <c r="J39" s="294">
        <v>0</v>
      </c>
      <c r="K39" s="294">
        <f>SUM('Data-OLD'!$F39:$J39)</f>
        <v>0</v>
      </c>
      <c r="L39" s="294">
        <v>0</v>
      </c>
      <c r="M39" s="294">
        <v>0</v>
      </c>
      <c r="N39" s="294">
        <v>0</v>
      </c>
      <c r="O39" s="296">
        <f>SUM('Data-OLD'!$K39+'Data-OLD'!$L39+'Data-OLD'!$M39)*18%+'Data-OLD'!$N39*12%</f>
        <v>0</v>
      </c>
      <c r="P39" s="298">
        <f>'Data-OLD'!$K39+'Data-OLD'!$L39+'Data-OLD'!$M39+'Data-OLD'!$N39+'Data-OLD'!$O39</f>
        <v>0</v>
      </c>
    </row>
    <row r="40" spans="1:16" x14ac:dyDescent="0.25">
      <c r="A40" s="297">
        <v>39</v>
      </c>
      <c r="B40" s="293"/>
      <c r="C40" s="294">
        <v>0</v>
      </c>
      <c r="D40" s="294">
        <v>0</v>
      </c>
      <c r="E40" s="294">
        <f>'Data-OLD'!$C40+'Data-OLD'!$D40</f>
        <v>0</v>
      </c>
      <c r="F40" s="294">
        <v>0</v>
      </c>
      <c r="G40" s="294">
        <v>0</v>
      </c>
      <c r="H40" s="294">
        <v>0</v>
      </c>
      <c r="I40" s="294">
        <v>0</v>
      </c>
      <c r="J40" s="294">
        <v>0</v>
      </c>
      <c r="K40" s="294">
        <f>SUM('Data-OLD'!$F40:$J40)</f>
        <v>0</v>
      </c>
      <c r="L40" s="294">
        <v>0</v>
      </c>
      <c r="M40" s="294">
        <v>0</v>
      </c>
      <c r="N40" s="294">
        <v>0</v>
      </c>
      <c r="O40" s="296">
        <f>SUM('Data-OLD'!$K40+'Data-OLD'!$L40+'Data-OLD'!$M40)*18%+'Data-OLD'!$N40*12%</f>
        <v>0</v>
      </c>
      <c r="P40" s="298">
        <f>'Data-OLD'!$K40+'Data-OLD'!$L40+'Data-OLD'!$M40+'Data-OLD'!$N40+'Data-OLD'!$O40</f>
        <v>0</v>
      </c>
    </row>
    <row r="41" spans="1:16" x14ac:dyDescent="0.25">
      <c r="A41" s="297"/>
      <c r="B41" s="293"/>
      <c r="C41" s="289">
        <f>SUBTOTAL(9,C2:C40)</f>
        <v>25607791</v>
      </c>
      <c r="D41" s="289">
        <f>SUBTOTAL(9,D2:D40)</f>
        <v>1280000</v>
      </c>
      <c r="E41" s="289">
        <f>SUBTOTAL(9,E2:E40)</f>
        <v>26887791</v>
      </c>
      <c r="F41" s="289">
        <f t="shared" ref="F41:P41" si="0">SUBTOTAL(9,F2:F40)</f>
        <v>96272</v>
      </c>
      <c r="G41" s="289">
        <f t="shared" si="0"/>
        <v>2338</v>
      </c>
      <c r="H41" s="289">
        <f t="shared" si="0"/>
        <v>0</v>
      </c>
      <c r="I41" s="289">
        <f t="shared" si="0"/>
        <v>1546</v>
      </c>
      <c r="J41" s="331">
        <f>SUBTOTAL(9,J2:J40)</f>
        <v>-7516</v>
      </c>
      <c r="K41" s="289">
        <f t="shared" si="0"/>
        <v>92640</v>
      </c>
      <c r="L41" s="289">
        <f t="shared" si="0"/>
        <v>3450</v>
      </c>
      <c r="M41" s="289">
        <f t="shared" si="0"/>
        <v>2320</v>
      </c>
      <c r="N41" s="289">
        <f t="shared" si="0"/>
        <v>1144836</v>
      </c>
      <c r="O41" s="289">
        <f t="shared" si="0"/>
        <v>155094.12</v>
      </c>
      <c r="P41" s="289">
        <f t="shared" si="0"/>
        <v>1398340.12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Policy Portal</vt:lpstr>
      <vt:lpstr>F Data-NEW</vt:lpstr>
      <vt:lpstr>Data-OLD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Kumavat</dc:creator>
  <cp:lastModifiedBy>Ajay Kumawat</cp:lastModifiedBy>
  <cp:lastPrinted>2025-11-13T08:51:23Z</cp:lastPrinted>
  <dcterms:created xsi:type="dcterms:W3CDTF">2025-09-22T07:37:27Z</dcterms:created>
  <dcterms:modified xsi:type="dcterms:W3CDTF">2026-06-05T13:37:26Z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cloreClassification">
    <vt:lpwstr>{"Universal Sompo General Insurance PolicyServer (91017144ebc14ae1c668afecf586afbeface9b7e)":{"ClassificationDisplayName":"Internal","ClassificationMode":"ClassificationMode_UserDriven","LabelId":"10007","Version":"1"}}</vt:lpwstr>
  </property>
  <property fmtid="{D5CDD505-2E9C-101B-9397-08002B2CF9AE}" pid="3" name="SecloreClassificationDisplayName_91017144ebc14ae1c668afecf586afbeface9b7e">
    <vt:lpwstr>Internal</vt:lpwstr>
  </property>
  <property fmtid="{D5CDD505-2E9C-101B-9397-08002B2CF9AE}" pid="4" name="SecloreClassificationHeaderTextValue">
    <vt:lpwstr>This is an Internal document.</vt:lpwstr>
  </property>
  <property fmtid="{D5CDD505-2E9C-101B-9397-08002B2CF9AE}" pid="5" name="SecloreClassificationHeaderColorHex">
    <vt:lpwstr>#0000ff</vt:lpwstr>
  </property>
  <property fmtid="{D5CDD505-2E9C-101B-9397-08002B2CF9AE}" pid="6" name="SecloreClassificationHeaderFontSize">
    <vt:lpwstr>12</vt:lpwstr>
  </property>
  <property fmtid="{D5CDD505-2E9C-101B-9397-08002B2CF9AE}" pid="7" name="SecloreClassificationHeaderAlignment">
    <vt:lpwstr>Left</vt:lpwstr>
  </property>
  <property fmtid="{D5CDD505-2E9C-101B-9397-08002B2CF9AE}" pid="8" name="SecloreClassificationFooterTextValue">
    <vt:lpwstr>This is an Internal document.</vt:lpwstr>
  </property>
  <property fmtid="{D5CDD505-2E9C-101B-9397-08002B2CF9AE}" pid="9" name="SecloreClassificationFooterColorHex">
    <vt:lpwstr>#0000ff</vt:lpwstr>
  </property>
  <property fmtid="{D5CDD505-2E9C-101B-9397-08002B2CF9AE}" pid="10" name="SecloreClassificationFooterFontSize">
    <vt:lpwstr>12</vt:lpwstr>
  </property>
  <property fmtid="{D5CDD505-2E9C-101B-9397-08002B2CF9AE}" pid="11" name="SecloreClassificationFooterAlignment">
    <vt:lpwstr>Left</vt:lpwstr>
  </property>
</Properties>
</file>